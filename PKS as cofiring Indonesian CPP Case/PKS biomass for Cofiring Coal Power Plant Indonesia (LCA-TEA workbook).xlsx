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obby\Downloads\LOVABLE\LCA PKS Co-firing\"/>
    </mc:Choice>
  </mc:AlternateContent>
  <xr:revisionPtr revIDLastSave="0" documentId="8_{2B86A3B0-C35D-4BFC-8BAC-1B5CF936FCC4}" xr6:coauthVersionLast="47" xr6:coauthVersionMax="47" xr10:uidLastSave="{00000000-0000-0000-0000-000000000000}"/>
  <bookViews>
    <workbookView xWindow="-108" yWindow="-108" windowWidth="23256" windowHeight="12456" xr2:uid="{00000000-000D-0000-FFFF-FFFF00000000}"/>
  </bookViews>
  <sheets>
    <sheet name="ABOUT" sheetId="1" r:id="rId1"/>
    <sheet name="GOAL" sheetId="2" r:id="rId2"/>
    <sheet name="SCOPE" sheetId="3" r:id="rId3"/>
    <sheet name="PARAMETERS" sheetId="4" r:id="rId4"/>
    <sheet name="BACKGROUND" sheetId="5" r:id="rId5"/>
    <sheet name="INDICATORS" sheetId="6" r:id="rId6"/>
    <sheet name="INVENTORY" sheetId="7" r:id="rId7"/>
    <sheet name="IMPACT ASSESSMENT" sheetId="8" r:id="rId8"/>
    <sheet name="INTERPRETATION" sheetId="9" r:id="rId9"/>
    <sheet name="FUEL PRICES" sheetId="10" r:id="rId10"/>
    <sheet name="CAPEX" sheetId="11" r:id="rId11"/>
    <sheet name="OPEX" sheetId="12" r:id="rId12"/>
    <sheet name="CASH FLOW" sheetId="13" r:id="rId13"/>
    <sheet name="LCOE" sheetId="14" r:id="rId14"/>
    <sheet name="ABATEMENT COST" sheetId="15" r:id="rId15"/>
    <sheet name="SENSITIVITY" sheetId="16" r:id="rId16"/>
    <sheet name="DASHBOARD" sheetId="17" r:id="rId17"/>
    <sheet name="SOURCE GUIDE" sheetId="18" r:id="rId18"/>
  </sheets>
  <definedNames>
    <definedName name="annual_mwh">'FUEL PRICES'!$B$21</definedName>
    <definedName name="ash_capture">PARAMETERS!$B$20</definedName>
    <definedName name="ash_coal">PARAMETERS!$B$7</definedName>
    <definedName name="ash_pks">PARAMETERS!$B$8</definedName>
    <definedName name="aux_kwh">PARAMETERS!$B$22</definedName>
    <definedName name="barge_tariff">OPEX!$B$23</definedName>
    <definedName name="cap_exp">CAPEX!$B$21</definedName>
    <definedName name="cap_factor">'FUEL PRICES'!$B$14</definedName>
    <definedName name="cap_mw">'FUEL PRICES'!$B$13</definedName>
    <definedName name="capex_row">CAPEX!$C$27</definedName>
    <definedName name="carbon_price">'FUEL PRICES'!$B$10</definedName>
    <definedName name="ch4_ef">PARAMETERS!$B$15</definedName>
    <definedName name="co2_coal">PARAMETERS!$B$13</definedName>
    <definedName name="co2_pks">PARAMETERS!$B$14</definedName>
    <definedName name="coal_price">'FUEL PRICES'!$B$6</definedName>
    <definedName name="coal_usd">'FUEL PRICES'!$B$23</definedName>
    <definedName name="crf">'FUEL PRICES'!$B$22</definedName>
    <definedName name="crush_kwh">PARAMETERS!$B$25</definedName>
    <definedName name="dry_heat">PARAMETERS!$B$24</definedName>
    <definedName name="elec_gwp">PARAMETERS!$B$45</definedName>
    <definedName name="elec_mode">PARAMETERS!$B$37</definedName>
    <definedName name="elec_name">PARAMETERS!$B$47</definedName>
    <definedName name="elec_price">'FUEL PRICES'!$B$18</definedName>
    <definedName name="elec_scale">PARAMETERS!$B$46</definedName>
    <definedName name="faba_cost">'FUEL PRICES'!$B$16</definedName>
    <definedName name="fom_rate">OPEX!$B$24</definedName>
    <definedName name="fx">'FUEL PRICES'!$B$5</definedName>
    <definedName name="land_occ">PARAMETERS!$B$27</definedName>
    <definedName name="lhv_coal">PARAMETERS!$B$5</definedName>
    <definedName name="lhv_pks">PARAMETERS!$B$6</definedName>
    <definedName name="life">'FUEL PRICES'!$B$12</definedName>
    <definedName name="lime_per_S">PARAMETERS!$B$21</definedName>
    <definedName name="limestone_price">'FUEL PRICES'!$B$15</definedName>
    <definedName name="n_coal">PARAMETERS!$B$11</definedName>
    <definedName name="n_pks">PARAMETERS!$B$12</definedName>
    <definedName name="n2o_ef">PARAMETERS!$B$16</definedName>
    <definedName name="nox_ef">PARAMETERS!$B$17</definedName>
    <definedName name="nox_ratio">PARAMETERS!$B$32</definedName>
    <definedName name="pks_price">'FUEL PRICES'!$B$7</definedName>
    <definedName name="pks_price_high">'FUEL PRICES'!$B$9</definedName>
    <definedName name="pks_price_low">'FUEL PRICES'!$B$8</definedName>
    <definedName name="pks_upstream_ratio">PARAMETERS!$B$28</definedName>
    <definedName name="pks_usd">'FUEL PRICES'!$B$24</definedName>
    <definedName name="pm_ratio">PARAMETERS!$B$34</definedName>
    <definedName name="pm25_ef">PARAMETERS!$B$19</definedName>
    <definedName name="ref_capex">CAPEX!$B$18</definedName>
    <definedName name="ref_capex_nojetty">CAPEX!$B$19</definedName>
    <definedName name="ref_share">CAPEX!$B$20</definedName>
    <definedName name="s_coal">PARAMETERS!$B$9</definedName>
    <definedName name="s_pks">PARAMETERS!$B$10</definedName>
    <definedName name="so2_ef">PARAMETERS!$B$18</definedName>
    <definedName name="so2_ratio">PARAMETERS!$B$33</definedName>
    <definedName name="stock_ch4">PARAMETERS!$B$26</definedName>
    <definedName name="truck_tariff">OPEX!$B$22</definedName>
    <definedName name="vom_pks">OPEX!$B$25</definedName>
    <definedName name="wacc">'FUEL PRICES'!$B$11</definedName>
    <definedName name="water_cost">'FUEL PRICES'!$B$17</definedName>
    <definedName name="water_int">PARAMETERS!$B$23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7" l="1"/>
  <c r="F10" i="17"/>
  <c r="E10" i="17"/>
  <c r="D10" i="17"/>
  <c r="C10" i="17"/>
  <c r="G9" i="17"/>
  <c r="F9" i="17"/>
  <c r="E9" i="17"/>
  <c r="D9" i="17"/>
  <c r="C9" i="17"/>
  <c r="B13" i="16"/>
  <c r="B11" i="16"/>
  <c r="B10" i="16"/>
  <c r="B8" i="16"/>
  <c r="B7" i="16"/>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C14" i="12"/>
  <c r="C29" i="11"/>
  <c r="E27" i="11"/>
  <c r="E29" i="11" s="1"/>
  <c r="C27" i="11"/>
  <c r="G25" i="11"/>
  <c r="F25" i="11"/>
  <c r="F27" i="11" s="1"/>
  <c r="F28" i="11" s="1"/>
  <c r="E25" i="11"/>
  <c r="D25" i="11"/>
  <c r="D27" i="11" s="1"/>
  <c r="D6" i="13" s="1"/>
  <c r="C25" i="11"/>
  <c r="B19" i="11"/>
  <c r="B16" i="11"/>
  <c r="B15" i="11"/>
  <c r="B24" i="10"/>
  <c r="B23" i="10"/>
  <c r="B22" i="10"/>
  <c r="B21" i="10"/>
  <c r="D38" i="9"/>
  <c r="D37" i="9"/>
  <c r="D36" i="9"/>
  <c r="D35" i="9"/>
  <c r="D34" i="9"/>
  <c r="D33" i="9"/>
  <c r="D32" i="9"/>
  <c r="D31" i="9"/>
  <c r="F44" i="7"/>
  <c r="E44" i="7"/>
  <c r="D41" i="7"/>
  <c r="D10" i="8" s="1"/>
  <c r="D8" i="17" s="1"/>
  <c r="G39" i="7"/>
  <c r="F39" i="7"/>
  <c r="C32" i="7"/>
  <c r="C11" i="12" s="1"/>
  <c r="F25" i="7"/>
  <c r="G17" i="7"/>
  <c r="F17" i="7"/>
  <c r="D15" i="7"/>
  <c r="D17" i="7" s="1"/>
  <c r="F14" i="7"/>
  <c r="F47" i="7" s="1"/>
  <c r="E14" i="7"/>
  <c r="G13" i="7"/>
  <c r="G15" i="7" s="1"/>
  <c r="F13" i="7"/>
  <c r="F15" i="7" s="1"/>
  <c r="E13" i="7"/>
  <c r="E39" i="7" s="1"/>
  <c r="D13" i="7"/>
  <c r="D44" i="7" s="1"/>
  <c r="C13" i="7"/>
  <c r="G10" i="5"/>
  <c r="G7" i="5"/>
  <c r="E7" i="5"/>
  <c r="D7" i="5"/>
  <c r="B47" i="4"/>
  <c r="A3" i="8" s="1"/>
  <c r="B46" i="4"/>
  <c r="F10" i="5" s="1"/>
  <c r="B45" i="4"/>
  <c r="C7" i="5" s="1"/>
  <c r="B34" i="4"/>
  <c r="B33" i="4"/>
  <c r="B32" i="4"/>
  <c r="D19" i="15" l="1"/>
  <c r="D15" i="17"/>
  <c r="D15" i="12"/>
  <c r="D7" i="12"/>
  <c r="D8" i="14" s="1"/>
  <c r="D25" i="7"/>
  <c r="D28" i="7"/>
  <c r="D9" i="12" s="1"/>
  <c r="D37" i="7"/>
  <c r="D26" i="7"/>
  <c r="D13" i="12" s="1"/>
  <c r="D11" i="14" s="1"/>
  <c r="D24" i="7"/>
  <c r="C44" i="7"/>
  <c r="C14" i="7"/>
  <c r="C39" i="7"/>
  <c r="C15" i="7"/>
  <c r="F15" i="17"/>
  <c r="F19" i="15"/>
  <c r="F7" i="12"/>
  <c r="F8" i="14" s="1"/>
  <c r="F15" i="12"/>
  <c r="F37" i="7"/>
  <c r="F26" i="7"/>
  <c r="F13" i="12" s="1"/>
  <c r="F11" i="14" s="1"/>
  <c r="F24" i="7"/>
  <c r="F38" i="7"/>
  <c r="F27" i="7"/>
  <c r="F43" i="7"/>
  <c r="F41" i="7"/>
  <c r="F10" i="8" s="1"/>
  <c r="F8" i="17" s="1"/>
  <c r="G15" i="17"/>
  <c r="G19" i="15"/>
  <c r="G15" i="12"/>
  <c r="G37" i="7"/>
  <c r="G26" i="7"/>
  <c r="G13" i="12" s="1"/>
  <c r="G11" i="14" s="1"/>
  <c r="G7" i="12"/>
  <c r="G8" i="14" s="1"/>
  <c r="G27" i="7"/>
  <c r="G24" i="7"/>
  <c r="G38" i="7"/>
  <c r="G25" i="7"/>
  <c r="G7" i="9" s="1"/>
  <c r="D27" i="7"/>
  <c r="F42" i="7"/>
  <c r="F45" i="7"/>
  <c r="F40" i="7"/>
  <c r="F16" i="7"/>
  <c r="F46" i="7"/>
  <c r="G43" i="7"/>
  <c r="G41" i="7"/>
  <c r="G10" i="8" s="1"/>
  <c r="G8" i="17" s="1"/>
  <c r="F28" i="7"/>
  <c r="F9" i="12" s="1"/>
  <c r="E42" i="7"/>
  <c r="E40" i="7"/>
  <c r="E16" i="7"/>
  <c r="G28" i="7"/>
  <c r="G9" i="12" s="1"/>
  <c r="D38" i="7"/>
  <c r="F7" i="5"/>
  <c r="G14" i="7"/>
  <c r="D32" i="7"/>
  <c r="D11" i="12" s="1"/>
  <c r="D43" i="7"/>
  <c r="G44" i="7"/>
  <c r="D28" i="11"/>
  <c r="D14" i="12"/>
  <c r="D12" i="14" s="1"/>
  <c r="D17" i="17"/>
  <c r="D6" i="14"/>
  <c r="D29" i="11"/>
  <c r="E28" i="11"/>
  <c r="F14" i="12"/>
  <c r="F6" i="13"/>
  <c r="G33" i="13"/>
  <c r="F33" i="13"/>
  <c r="E33" i="13"/>
  <c r="D33" i="13"/>
  <c r="C33" i="13"/>
  <c r="C10" i="5"/>
  <c r="G32" i="7"/>
  <c r="G11" i="12" s="1"/>
  <c r="E32" i="7"/>
  <c r="E11" i="12" s="1"/>
  <c r="F32" i="7"/>
  <c r="F11" i="12" s="1"/>
  <c r="D10" i="5"/>
  <c r="E15" i="7"/>
  <c r="E47" i="7" s="1"/>
  <c r="A3" i="17"/>
  <c r="B29" i="16"/>
  <c r="E10" i="5"/>
  <c r="D39" i="7"/>
  <c r="F6" i="14"/>
  <c r="F29" i="11"/>
  <c r="F17" i="17"/>
  <c r="D14" i="7"/>
  <c r="B18" i="11"/>
  <c r="G27" i="11" s="1"/>
  <c r="C17" i="17"/>
  <c r="C28" i="11"/>
  <c r="C6" i="14"/>
  <c r="C6" i="13"/>
  <c r="E17" i="17"/>
  <c r="E6" i="14"/>
  <c r="E6" i="13"/>
  <c r="E14" i="12"/>
  <c r="G6" i="14" l="1"/>
  <c r="G6" i="13"/>
  <c r="G14" i="12"/>
  <c r="G12" i="14" s="1"/>
  <c r="G17" i="17"/>
  <c r="G28" i="11"/>
  <c r="G29" i="11"/>
  <c r="F20" i="7"/>
  <c r="F33" i="7" s="1"/>
  <c r="F39" i="8" s="1"/>
  <c r="F41" i="8" s="1"/>
  <c r="F13" i="17" s="1"/>
  <c r="F18" i="7"/>
  <c r="F29" i="7" s="1"/>
  <c r="F9" i="9" s="1"/>
  <c r="F6" i="12"/>
  <c r="F30" i="7"/>
  <c r="F19" i="7"/>
  <c r="F31" i="7" s="1"/>
  <c r="F10" i="12" s="1"/>
  <c r="G8" i="12"/>
  <c r="G9" i="14" s="1"/>
  <c r="G8" i="9"/>
  <c r="D47" i="7"/>
  <c r="D42" i="7"/>
  <c r="D45" i="7"/>
  <c r="D40" i="7"/>
  <c r="D22" i="8" s="1"/>
  <c r="D46" i="7"/>
  <c r="D8" i="8" s="1"/>
  <c r="D16" i="7"/>
  <c r="F8" i="9"/>
  <c r="F8" i="12"/>
  <c r="F9" i="14" s="1"/>
  <c r="E45" i="7"/>
  <c r="F12" i="14"/>
  <c r="C41" i="7"/>
  <c r="C10" i="8" s="1"/>
  <c r="C8" i="17" s="1"/>
  <c r="C17" i="7"/>
  <c r="C43" i="7"/>
  <c r="D7" i="9"/>
  <c r="F7" i="9"/>
  <c r="D8" i="12"/>
  <c r="D9" i="14" s="1"/>
  <c r="D8" i="9"/>
  <c r="F15" i="8"/>
  <c r="F33" i="8"/>
  <c r="F35" i="8" s="1"/>
  <c r="F6" i="9"/>
  <c r="G45" i="7"/>
  <c r="G34" i="8" s="1"/>
  <c r="G40" i="7"/>
  <c r="G46" i="8" s="1"/>
  <c r="G46" i="7"/>
  <c r="G16" i="7"/>
  <c r="G47" i="7"/>
  <c r="G42" i="7"/>
  <c r="C47" i="7"/>
  <c r="C45" i="7"/>
  <c r="C42" i="7"/>
  <c r="C40" i="7"/>
  <c r="C46" i="7"/>
  <c r="C16" i="7"/>
  <c r="E6" i="12"/>
  <c r="E30" i="7"/>
  <c r="F46" i="8"/>
  <c r="F22" i="8"/>
  <c r="F8" i="8"/>
  <c r="F34" i="8"/>
  <c r="F16" i="8"/>
  <c r="F40" i="8"/>
  <c r="F28" i="8"/>
  <c r="E17" i="7"/>
  <c r="E43" i="7"/>
  <c r="E41" i="7"/>
  <c r="E10" i="8" s="1"/>
  <c r="E8" i="17" s="1"/>
  <c r="E46" i="7"/>
  <c r="G6" i="9"/>
  <c r="D6" i="9"/>
  <c r="E19" i="15" l="1"/>
  <c r="E15" i="17"/>
  <c r="E28" i="7"/>
  <c r="E9" i="12" s="1"/>
  <c r="E15" i="12"/>
  <c r="E12" i="14" s="1"/>
  <c r="E37" i="7"/>
  <c r="E26" i="7"/>
  <c r="E13" i="12" s="1"/>
  <c r="E11" i="14" s="1"/>
  <c r="E24" i="7"/>
  <c r="E7" i="12"/>
  <c r="E8" i="14" s="1"/>
  <c r="E38" i="7"/>
  <c r="E27" i="7"/>
  <c r="E25" i="7"/>
  <c r="E7" i="9" s="1"/>
  <c r="G22" i="8"/>
  <c r="E19" i="7"/>
  <c r="E31" i="7" s="1"/>
  <c r="E10" i="12" s="1"/>
  <c r="G28" i="8"/>
  <c r="D46" i="8"/>
  <c r="E10" i="9"/>
  <c r="G6" i="12"/>
  <c r="G18" i="7"/>
  <c r="G29" i="7" s="1"/>
  <c r="G30" i="7"/>
  <c r="G19" i="7"/>
  <c r="G31" i="7" s="1"/>
  <c r="G10" i="12" s="1"/>
  <c r="G20" i="7"/>
  <c r="G33" i="7" s="1"/>
  <c r="D28" i="8"/>
  <c r="F12" i="12"/>
  <c r="F11" i="9"/>
  <c r="E18" i="7"/>
  <c r="E29" i="7" s="1"/>
  <c r="E9" i="9" s="1"/>
  <c r="F27" i="8"/>
  <c r="F29" i="8" s="1"/>
  <c r="F12" i="17" s="1"/>
  <c r="C19" i="15"/>
  <c r="C15" i="17"/>
  <c r="C25" i="7"/>
  <c r="C7" i="9" s="1"/>
  <c r="C28" i="7"/>
  <c r="C9" i="12" s="1"/>
  <c r="C15" i="12"/>
  <c r="C12" i="14" s="1"/>
  <c r="C26" i="7"/>
  <c r="C13" i="12" s="1"/>
  <c r="C11" i="14" s="1"/>
  <c r="C37" i="7"/>
  <c r="C7" i="12"/>
  <c r="C8" i="14" s="1"/>
  <c r="C38" i="7"/>
  <c r="C27" i="7"/>
  <c r="C24" i="7"/>
  <c r="G16" i="8"/>
  <c r="D34" i="8"/>
  <c r="D20" i="7"/>
  <c r="D33" i="7" s="1"/>
  <c r="D18" i="7"/>
  <c r="D29" i="7" s="1"/>
  <c r="D6" i="12"/>
  <c r="D19" i="7"/>
  <c r="D31" i="7" s="1"/>
  <c r="D10" i="12" s="1"/>
  <c r="D30" i="7"/>
  <c r="D10" i="9" s="1"/>
  <c r="E7" i="14"/>
  <c r="F10" i="14"/>
  <c r="F45" i="8"/>
  <c r="F47" i="8" s="1"/>
  <c r="F14" i="17" s="1"/>
  <c r="G40" i="8"/>
  <c r="D40" i="8"/>
  <c r="F10" i="9"/>
  <c r="F12" i="9" s="1"/>
  <c r="F13" i="9" s="1"/>
  <c r="F17" i="8"/>
  <c r="F11" i="17" s="1"/>
  <c r="G16" i="17"/>
  <c r="F16" i="17"/>
  <c r="E16" i="17"/>
  <c r="D16" i="17"/>
  <c r="C16" i="17"/>
  <c r="C6" i="12"/>
  <c r="C30" i="7"/>
  <c r="C19" i="7"/>
  <c r="C31" i="7" s="1"/>
  <c r="C10" i="12" s="1"/>
  <c r="C20" i="7"/>
  <c r="C33" i="7" s="1"/>
  <c r="C18" i="7"/>
  <c r="C29" i="7" s="1"/>
  <c r="C9" i="9" s="1"/>
  <c r="F21" i="8"/>
  <c r="F23" i="8" s="1"/>
  <c r="G8" i="8"/>
  <c r="D16" i="8"/>
  <c r="F7" i="14"/>
  <c r="F16" i="12"/>
  <c r="E20" i="7"/>
  <c r="E33" i="7" s="1"/>
  <c r="F7" i="8"/>
  <c r="F9" i="8" s="1"/>
  <c r="E21" i="8" l="1"/>
  <c r="E33" i="8"/>
  <c r="E39" i="8"/>
  <c r="E15" i="8"/>
  <c r="E7" i="8"/>
  <c r="E27" i="8"/>
  <c r="E6" i="9"/>
  <c r="E45" i="8"/>
  <c r="D12" i="12"/>
  <c r="D11" i="9"/>
  <c r="F31" i="13"/>
  <c r="F20" i="13"/>
  <c r="F18" i="13"/>
  <c r="F24" i="13"/>
  <c r="F22" i="13"/>
  <c r="F7" i="13"/>
  <c r="F18" i="12"/>
  <c r="F30" i="13"/>
  <c r="F15" i="13"/>
  <c r="F13" i="13"/>
  <c r="F28" i="13"/>
  <c r="F26" i="13"/>
  <c r="F11" i="13"/>
  <c r="F9" i="13"/>
  <c r="F19" i="13"/>
  <c r="F17" i="13"/>
  <c r="F23" i="13"/>
  <c r="F21" i="13"/>
  <c r="F8" i="13"/>
  <c r="F27" i="13"/>
  <c r="F25" i="13"/>
  <c r="F12" i="13"/>
  <c r="F10" i="13"/>
  <c r="F29" i="13"/>
  <c r="F16" i="13"/>
  <c r="F14" i="13"/>
  <c r="C10" i="9"/>
  <c r="C7" i="14"/>
  <c r="E40" i="8"/>
  <c r="E16" i="8"/>
  <c r="E28" i="8"/>
  <c r="E22" i="8"/>
  <c r="E46" i="8"/>
  <c r="E8" i="8"/>
  <c r="E34" i="8"/>
  <c r="C8" i="12"/>
  <c r="C9" i="14" s="1"/>
  <c r="C8" i="9"/>
  <c r="C12" i="12"/>
  <c r="C10" i="14" s="1"/>
  <c r="C11" i="9"/>
  <c r="F14" i="9"/>
  <c r="D10" i="14"/>
  <c r="C21" i="15"/>
  <c r="C23" i="17" s="1"/>
  <c r="C22" i="15"/>
  <c r="G10" i="9"/>
  <c r="E12" i="12"/>
  <c r="E10" i="14" s="1"/>
  <c r="E11" i="9"/>
  <c r="F13" i="14"/>
  <c r="C45" i="8"/>
  <c r="C21" i="8"/>
  <c r="C33" i="8"/>
  <c r="C27" i="8"/>
  <c r="C29" i="8" s="1"/>
  <c r="C12" i="17" s="1"/>
  <c r="C39" i="8"/>
  <c r="C7" i="8"/>
  <c r="C15" i="8"/>
  <c r="C17" i="8" s="1"/>
  <c r="C11" i="17" s="1"/>
  <c r="C6" i="9"/>
  <c r="G12" i="12"/>
  <c r="G10" i="14" s="1"/>
  <c r="G11" i="9"/>
  <c r="F6" i="15"/>
  <c r="F6" i="17"/>
  <c r="F25" i="9"/>
  <c r="F26" i="9" s="1"/>
  <c r="D7" i="14"/>
  <c r="D13" i="14" s="1"/>
  <c r="D16" i="12"/>
  <c r="G9" i="9"/>
  <c r="G12" i="9" s="1"/>
  <c r="G33" i="8"/>
  <c r="G35" i="8" s="1"/>
  <c r="G15" i="8"/>
  <c r="G17" i="8" s="1"/>
  <c r="G11" i="17" s="1"/>
  <c r="G21" i="8"/>
  <c r="G23" i="8" s="1"/>
  <c r="G39" i="8"/>
  <c r="G41" i="8" s="1"/>
  <c r="G13" i="17" s="1"/>
  <c r="G45" i="8"/>
  <c r="G47" i="8" s="1"/>
  <c r="G14" i="17" s="1"/>
  <c r="G27" i="8"/>
  <c r="G29" i="8" s="1"/>
  <c r="G12" i="17" s="1"/>
  <c r="G7" i="8"/>
  <c r="G9" i="8" s="1"/>
  <c r="E8" i="12"/>
  <c r="E8" i="9"/>
  <c r="D9" i="9"/>
  <c r="D12" i="9" s="1"/>
  <c r="D33" i="8"/>
  <c r="D35" i="8" s="1"/>
  <c r="D7" i="8"/>
  <c r="D9" i="8" s="1"/>
  <c r="D21" i="8"/>
  <c r="D23" i="8" s="1"/>
  <c r="D39" i="8"/>
  <c r="D41" i="8" s="1"/>
  <c r="D13" i="17" s="1"/>
  <c r="D15" i="8"/>
  <c r="D17" i="8" s="1"/>
  <c r="D11" i="17" s="1"/>
  <c r="D27" i="8"/>
  <c r="D29" i="8" s="1"/>
  <c r="D12" i="17" s="1"/>
  <c r="D45" i="8"/>
  <c r="D47" i="8" s="1"/>
  <c r="D14" i="17" s="1"/>
  <c r="C28" i="8"/>
  <c r="C40" i="8"/>
  <c r="C34" i="8"/>
  <c r="C22" i="8"/>
  <c r="C16" i="8"/>
  <c r="C46" i="8"/>
  <c r="C8" i="8"/>
  <c r="G16" i="12"/>
  <c r="G7" i="14"/>
  <c r="D16" i="14" l="1"/>
  <c r="D18" i="17"/>
  <c r="D15" i="14"/>
  <c r="C9" i="8"/>
  <c r="E29" i="8"/>
  <c r="E12" i="17" s="1"/>
  <c r="G6" i="15"/>
  <c r="G25" i="9"/>
  <c r="G26" i="9" s="1"/>
  <c r="B30" i="16"/>
  <c r="G6" i="17"/>
  <c r="D31" i="13"/>
  <c r="D29" i="13"/>
  <c r="D14" i="13"/>
  <c r="D12" i="13"/>
  <c r="D18" i="13"/>
  <c r="D16" i="13"/>
  <c r="D26" i="13"/>
  <c r="D24" i="13"/>
  <c r="D11" i="13"/>
  <c r="D9" i="13"/>
  <c r="D22" i="13"/>
  <c r="D20" i="13"/>
  <c r="D7" i="13"/>
  <c r="D32" i="13" s="1"/>
  <c r="D34" i="13" s="1"/>
  <c r="D14" i="14" s="1"/>
  <c r="D18" i="12"/>
  <c r="D15" i="13"/>
  <c r="D30" i="13"/>
  <c r="D28" i="13"/>
  <c r="D13" i="13"/>
  <c r="D19" i="13"/>
  <c r="D17" i="13"/>
  <c r="D23" i="13"/>
  <c r="D21" i="13"/>
  <c r="D27" i="13"/>
  <c r="D25" i="13"/>
  <c r="D10" i="13"/>
  <c r="D8" i="13"/>
  <c r="E12" i="9"/>
  <c r="C41" i="8"/>
  <c r="C13" i="17" s="1"/>
  <c r="G14" i="9"/>
  <c r="E9" i="8"/>
  <c r="E41" i="8"/>
  <c r="E13" i="17" s="1"/>
  <c r="C35" i="8"/>
  <c r="D13" i="9"/>
  <c r="C23" i="8"/>
  <c r="D14" i="9"/>
  <c r="C16" i="12"/>
  <c r="F32" i="13"/>
  <c r="F34" i="13" s="1"/>
  <c r="F14" i="14" s="1"/>
  <c r="E35" i="8"/>
  <c r="D6" i="17"/>
  <c r="D6" i="15"/>
  <c r="D25" i="9"/>
  <c r="D26" i="9" s="1"/>
  <c r="G13" i="14"/>
  <c r="G30" i="13"/>
  <c r="G26" i="13"/>
  <c r="G22" i="13"/>
  <c r="G18" i="13"/>
  <c r="G14" i="13"/>
  <c r="G10" i="13"/>
  <c r="G31" i="13"/>
  <c r="G27" i="13"/>
  <c r="G23" i="13"/>
  <c r="G19" i="13"/>
  <c r="G15" i="13"/>
  <c r="G11" i="13"/>
  <c r="G7" i="13"/>
  <c r="G28" i="13"/>
  <c r="G24" i="13"/>
  <c r="G20" i="13"/>
  <c r="G16" i="13"/>
  <c r="G12" i="13"/>
  <c r="G8" i="13"/>
  <c r="G18" i="12"/>
  <c r="G9" i="13"/>
  <c r="G17" i="13"/>
  <c r="G13" i="13"/>
  <c r="G21" i="13"/>
  <c r="G25" i="13"/>
  <c r="G29" i="13"/>
  <c r="C47" i="8"/>
  <c r="C14" i="17" s="1"/>
  <c r="C13" i="14"/>
  <c r="D17" i="14" s="1"/>
  <c r="E23" i="8"/>
  <c r="E17" i="8"/>
  <c r="E11" i="17" s="1"/>
  <c r="E9" i="14"/>
  <c r="E13" i="14" s="1"/>
  <c r="E16" i="12"/>
  <c r="G13" i="9"/>
  <c r="C12" i="9"/>
  <c r="C13" i="9" s="1"/>
  <c r="F16" i="14"/>
  <c r="F18" i="17"/>
  <c r="F17" i="14"/>
  <c r="F15" i="14"/>
  <c r="E47" i="8"/>
  <c r="E14" i="17" s="1"/>
  <c r="D18" i="14" l="1"/>
  <c r="D9" i="15"/>
  <c r="D19" i="17"/>
  <c r="C28" i="13"/>
  <c r="C24" i="13"/>
  <c r="C20" i="13"/>
  <c r="C16" i="13"/>
  <c r="C12" i="13"/>
  <c r="C8" i="13"/>
  <c r="C29" i="13"/>
  <c r="C25" i="13"/>
  <c r="C21" i="13"/>
  <c r="C17" i="13"/>
  <c r="C13" i="13"/>
  <c r="C9" i="13"/>
  <c r="C18" i="12"/>
  <c r="C30" i="13"/>
  <c r="C26" i="13"/>
  <c r="C22" i="13"/>
  <c r="C18" i="13"/>
  <c r="C14" i="13"/>
  <c r="C10" i="13"/>
  <c r="C27" i="13"/>
  <c r="C31" i="13"/>
  <c r="C7" i="13"/>
  <c r="C11" i="13"/>
  <c r="C15" i="13"/>
  <c r="C19" i="13"/>
  <c r="C17" i="12"/>
  <c r="C23" i="13"/>
  <c r="F17" i="12"/>
  <c r="D17" i="12"/>
  <c r="E29" i="13"/>
  <c r="E25" i="13"/>
  <c r="E21" i="13"/>
  <c r="E17" i="13"/>
  <c r="E13" i="13"/>
  <c r="E9" i="13"/>
  <c r="E18" i="12"/>
  <c r="E30" i="13"/>
  <c r="E26" i="13"/>
  <c r="E22" i="13"/>
  <c r="E18" i="13"/>
  <c r="E14" i="13"/>
  <c r="E10" i="13"/>
  <c r="E31" i="13"/>
  <c r="E27" i="13"/>
  <c r="E23" i="13"/>
  <c r="E19" i="13"/>
  <c r="E15" i="13"/>
  <c r="E11" i="13"/>
  <c r="E7" i="13"/>
  <c r="E16" i="13"/>
  <c r="E20" i="13"/>
  <c r="E28" i="13"/>
  <c r="E24" i="13"/>
  <c r="E17" i="12"/>
  <c r="E8" i="13"/>
  <c r="E12" i="13"/>
  <c r="E13" i="9"/>
  <c r="E14" i="9"/>
  <c r="E16" i="14"/>
  <c r="E18" i="17"/>
  <c r="E17" i="14"/>
  <c r="E15" i="14"/>
  <c r="G18" i="17"/>
  <c r="G17" i="14"/>
  <c r="G15" i="14"/>
  <c r="G16" i="14"/>
  <c r="F7" i="17"/>
  <c r="C6" i="17"/>
  <c r="E7" i="17"/>
  <c r="D7" i="17"/>
  <c r="B31" i="16"/>
  <c r="C11" i="8"/>
  <c r="C7" i="17"/>
  <c r="C6" i="15"/>
  <c r="C25" i="9"/>
  <c r="C26" i="9" s="1"/>
  <c r="G11" i="8"/>
  <c r="F11" i="8"/>
  <c r="E11" i="8"/>
  <c r="D11" i="8"/>
  <c r="G7" i="17"/>
  <c r="F9" i="15"/>
  <c r="F19" i="17"/>
  <c r="F18" i="14"/>
  <c r="C15" i="14"/>
  <c r="C16" i="14"/>
  <c r="C18" i="17"/>
  <c r="C17" i="14"/>
  <c r="G32" i="13"/>
  <c r="G34" i="13" s="1"/>
  <c r="G14" i="14" s="1"/>
  <c r="G17" i="12"/>
  <c r="E6" i="15"/>
  <c r="E25" i="9"/>
  <c r="E26" i="9" s="1"/>
  <c r="E6" i="17"/>
  <c r="C14" i="9"/>
  <c r="E9" i="15" l="1"/>
  <c r="E19" i="17"/>
  <c r="E18" i="14"/>
  <c r="G7" i="15"/>
  <c r="F7" i="15"/>
  <c r="E7" i="15"/>
  <c r="D7" i="15"/>
  <c r="C7" i="15"/>
  <c r="F20" i="15"/>
  <c r="F21" i="15" s="1"/>
  <c r="G9" i="15"/>
  <c r="G19" i="17"/>
  <c r="G18" i="14"/>
  <c r="E32" i="13"/>
  <c r="E34" i="13" s="1"/>
  <c r="E14" i="14" s="1"/>
  <c r="C19" i="17"/>
  <c r="C18" i="14"/>
  <c r="C9" i="15"/>
  <c r="D20" i="15"/>
  <c r="D21" i="15" s="1"/>
  <c r="C32" i="13"/>
  <c r="C34" i="13" s="1"/>
  <c r="C14" i="14" s="1"/>
  <c r="C10" i="15" l="1"/>
  <c r="C13" i="15"/>
  <c r="C8" i="15"/>
  <c r="C20" i="17" s="1"/>
  <c r="C11" i="15"/>
  <c r="C21" i="17" s="1"/>
  <c r="C12" i="15"/>
  <c r="C22" i="17" s="1"/>
  <c r="C15" i="15"/>
  <c r="D13" i="15"/>
  <c r="D14" i="15" s="1"/>
  <c r="D8" i="15"/>
  <c r="D20" i="17" s="1"/>
  <c r="D11" i="15"/>
  <c r="D21" i="17" s="1"/>
  <c r="D12" i="15"/>
  <c r="D22" i="17" s="1"/>
  <c r="D15" i="15"/>
  <c r="D10" i="15"/>
  <c r="E8" i="15"/>
  <c r="E20" i="17" s="1"/>
  <c r="E11" i="15"/>
  <c r="E21" i="17" s="1"/>
  <c r="E12" i="15"/>
  <c r="E22" i="17" s="1"/>
  <c r="E15" i="15"/>
  <c r="E10" i="15"/>
  <c r="E13" i="15"/>
  <c r="G10" i="15"/>
  <c r="G13" i="15"/>
  <c r="G14" i="15" s="1"/>
  <c r="G8" i="15"/>
  <c r="G20" i="17" s="1"/>
  <c r="G11" i="15"/>
  <c r="F11" i="15"/>
  <c r="F21" i="17" s="1"/>
  <c r="F12" i="15"/>
  <c r="F22" i="17" s="1"/>
  <c r="F15" i="15"/>
  <c r="F10" i="15"/>
  <c r="F13" i="15"/>
  <c r="F14" i="15" s="1"/>
  <c r="F8" i="15"/>
  <c r="F20" i="17" s="1"/>
  <c r="D23" i="17"/>
  <c r="D22" i="15"/>
  <c r="G20" i="15"/>
  <c r="G21" i="15" s="1"/>
  <c r="F23" i="17"/>
  <c r="F22" i="15"/>
  <c r="C14" i="15"/>
  <c r="C20" i="15"/>
  <c r="E14" i="15"/>
  <c r="E20" i="15"/>
  <c r="E21" i="15" s="1"/>
  <c r="D25" i="16" l="1"/>
  <c r="F23" i="16"/>
  <c r="C22" i="16"/>
  <c r="E20" i="16"/>
  <c r="F8" i="16"/>
  <c r="G8" i="16" s="1"/>
  <c r="C25" i="16"/>
  <c r="E23" i="16"/>
  <c r="B22" i="16"/>
  <c r="D20" i="16"/>
  <c r="F10" i="16"/>
  <c r="E8" i="16"/>
  <c r="G21" i="17"/>
  <c r="B25" i="16"/>
  <c r="D23" i="16"/>
  <c r="F21" i="16"/>
  <c r="C20" i="16"/>
  <c r="F12" i="16"/>
  <c r="E10" i="16"/>
  <c r="F24" i="16"/>
  <c r="C23" i="16"/>
  <c r="E21" i="16"/>
  <c r="B20" i="16"/>
  <c r="E12" i="16"/>
  <c r="E24" i="16"/>
  <c r="B23" i="16"/>
  <c r="D21" i="16"/>
  <c r="B14" i="16"/>
  <c r="F7" i="16"/>
  <c r="D24" i="16"/>
  <c r="F22" i="16"/>
  <c r="C21" i="16"/>
  <c r="F11" i="16"/>
  <c r="F9" i="16"/>
  <c r="E7" i="16"/>
  <c r="F25" i="16"/>
  <c r="C24" i="16"/>
  <c r="E22" i="16"/>
  <c r="B21" i="16"/>
  <c r="F13" i="16"/>
  <c r="G13" i="16" s="1"/>
  <c r="E11" i="16"/>
  <c r="E9" i="16"/>
  <c r="E25" i="16"/>
  <c r="B24" i="16"/>
  <c r="D22" i="16"/>
  <c r="F20" i="16"/>
  <c r="E13" i="16"/>
  <c r="G15" i="15"/>
  <c r="E23" i="17"/>
  <c r="E22" i="15"/>
  <c r="G12" i="15"/>
  <c r="G22" i="17" s="1"/>
  <c r="G23" i="17"/>
  <c r="G22" i="15"/>
  <c r="G7" i="16" l="1"/>
  <c r="G11" i="16"/>
  <c r="G10" i="16"/>
  <c r="G9" i="16"/>
  <c r="G12" i="16"/>
</calcChain>
</file>

<file path=xl/sharedStrings.xml><?xml version="1.0" encoding="utf-8"?>
<sst xmlns="http://schemas.openxmlformats.org/spreadsheetml/2006/main" count="1120" uniqueCount="692">
  <si>
    <t>PKS Co-firing at an Indonesian Coal Power Plant — LCA and TEA Workbook</t>
  </si>
  <si>
    <t>Study title</t>
  </si>
  <si>
    <t>Life cycle assessment and techno-economic assessment of palm kernel shell (PKS) co-firing in a 300 MW sub-critical PLTU unit, Java-Bali system</t>
  </si>
  <si>
    <t>Case study</t>
  </si>
  <si>
    <t>PLTU Unit #2, 300 MW sub-critical, Java-Bali (Jamali) grid, Indonesia</t>
  </si>
  <si>
    <t>Functional unit</t>
  </si>
  <si>
    <t>1 MWh net electricity delivered to the Java-Bali grid</t>
  </si>
  <si>
    <t>Scenarios</t>
  </si>
  <si>
    <t>0% (baseline), 5%, 10%, 20% and 30% co-firing on an energy basis</t>
  </si>
  <si>
    <t>Standards followed</t>
  </si>
  <si>
    <t>ISO 14040:2006, ISO 14044:2006, ISO 14067:2018 (product carbon footprint)</t>
  </si>
  <si>
    <t>LCIA method</t>
  </si>
  <si>
    <t>ReCiPe 2016 v1.03 midpoint (H), proxy characterisation set</t>
  </si>
  <si>
    <t>Background data</t>
  </si>
  <si>
    <t>ecoinvent 3.10 proxy factors, Indonesia-specific where available</t>
  </si>
  <si>
    <t>Foreground data</t>
  </si>
  <si>
    <t>PLTU Unit #2 operating log 2025, CEMS record 2025, fuel laboratory results (ASTM D5865/D3174/D4239), PKS delivery logistics log, company visit 17 June 2025</t>
  </si>
  <si>
    <t>TEA basis</t>
  </si>
  <si>
    <t>Real-terms 2026 IDR, 25-year evaluation, 10% WACC, NPV of incremental cost divided by NPV of delivered energy</t>
  </si>
  <si>
    <t>Currency</t>
  </si>
  <si>
    <t>Indonesian rupiah (IDR) as primary; USD shown at a stated fixed rate</t>
  </si>
  <si>
    <t>Model cross-check</t>
  </si>
  <si>
    <t>All impact results reproduce the Brightway2 model in pks-cofiring-brightway/ to within 0.01 kg CO2e/MWh</t>
  </si>
  <si>
    <t>Prepared by</t>
  </si>
  <si>
    <t>Version</t>
  </si>
  <si>
    <t>1.0 — August 2026</t>
  </si>
  <si>
    <t>COLOUR AND FORMAT CONVENTIONS</t>
  </si>
  <si>
    <t>Blue text</t>
  </si>
  <si>
    <t>Hardcoded input — change these to run your own case</t>
  </si>
  <si>
    <t>Black text</t>
  </si>
  <si>
    <t>Formula or calculation — do not overwrite</t>
  </si>
  <si>
    <t>Green text</t>
  </si>
  <si>
    <t>Link pulling a value from another worksheet</t>
  </si>
  <si>
    <t>Yellow fill</t>
  </si>
  <si>
    <t>Key assumption that should be reviewed before use</t>
  </si>
  <si>
    <t>Sheet map</t>
  </si>
  <si>
    <t>GOAL / SCOPE</t>
  </si>
  <si>
    <t>ISO 14040 goal definition, system boundary, cut-off and allocation</t>
  </si>
  <si>
    <t>PARAMETERS</t>
  </si>
  <si>
    <t>All engineering inputs with sources — the only LCA inputs you need to edit</t>
  </si>
  <si>
    <t>BACKGROUND / INDICATORS</t>
  </si>
  <si>
    <t>Background (upstream) factors and ReCiPe characterisation factors</t>
  </si>
  <si>
    <t>INVENTORY</t>
  </si>
  <si>
    <t>Per-MWh life cycle inventory, computed from PARAMETERS for every scenario</t>
  </si>
  <si>
    <t>IMPACT ASSESSMENT</t>
  </si>
  <si>
    <t>Seven midpoint categories, foreground and background split</t>
  </si>
  <si>
    <t>INTERPRETATION</t>
  </si>
  <si>
    <t>Stage contribution, uncertainty, key drivers, conclusions</t>
  </si>
  <si>
    <t>CAPEX / OPEX / FUEL PRICES</t>
  </si>
  <si>
    <t>Techno-economic inputs under Indonesian 2026 conditions</t>
  </si>
  <si>
    <t>CASH FLOW / LCOE</t>
  </si>
  <si>
    <t>25-year discounted cash flow and levelised cost of electricity</t>
  </si>
  <si>
    <t>ABATEMENT COST</t>
  </si>
  <si>
    <t>Cost of CO2e abatement, break-even PKS price, carbon price effect</t>
  </si>
  <si>
    <t>SENSITIVITY</t>
  </si>
  <si>
    <t>Tornado analysis and a two-way PKS price x coal price grid</t>
  </si>
  <si>
    <t>DASHBOARD</t>
  </si>
  <si>
    <t>One-page summary of LCA and TEA results</t>
  </si>
  <si>
    <t>SOURCE GUIDE</t>
  </si>
  <si>
    <t>Full source list for every literal used in the workbook</t>
  </si>
  <si>
    <t>GOAL DEFINITION (ISO 14040 clause 5.2)</t>
  </si>
  <si>
    <t>Intended application</t>
  </si>
  <si>
    <t>Decision support for a state utility and an independent power producer evaluating biomass co-firing as a near-term decarbonisation measure for existing coal capacity, and for the emission-reduction claim reported under the national co-firing programme.</t>
  </si>
  <si>
    <t>Reasons for the study</t>
  </si>
  <si>
    <t>Co-firing is promoted as a low-cost abatement lever, but the claimed reduction depends on how the biogenic carbon, the upstream palm burden, the efficiency penalty and the transport route are treated. The study quantifies the net effect with a transparent, reproducible model.</t>
  </si>
  <si>
    <t>Questions answered</t>
  </si>
  <si>
    <t>1) How much does the carbon footprint of 1 MWh fall per percentage point of co-firing?  2) Which life cycle stage and which parameter governs the result?  3) Is the reduction robust to data-quality uncertainty?  4) What does the abatement cost, and at what PKS price does it stop being economic?</t>
  </si>
  <si>
    <t>Intended audience</t>
  </si>
  <si>
    <t>Plant technical and sustainability management, utility planning, the ministry programme office, and an external critical reviewer.</t>
  </si>
  <si>
    <t>Comparative assertion</t>
  </si>
  <si>
    <t>Yes — scenarios are compared with each other. No comparative assertion is disclosed to the public against a competing product; results are reported with uncertainty ranges.</t>
  </si>
  <si>
    <t>Limitations declared upfront</t>
  </si>
  <si>
    <t>Background data are ecoinvent-3.10-consistent proxies, not licensed ecoinvent processes. Plant construction and decommissioning are cut off. Direct and indirect land-use change is not modelled; PKS is treated as an economically allocated residue.</t>
  </si>
  <si>
    <t>Critical review</t>
  </si>
  <si>
    <t>Internal review performed; the workbook and the underlying Brightway2 code are released so that an external reviewer can re-run every number.</t>
  </si>
  <si>
    <t>SCOPE, SYSTEM BOUNDARY AND METHODOLOGICAL CHOICES (ISO 14044 clause 4.2.3)</t>
  </si>
  <si>
    <t>Function and functional unit</t>
  </si>
  <si>
    <t>Function</t>
  </si>
  <si>
    <t>Supply of dispatchable electrical energy to the Java-Bali transmission system</t>
  </si>
  <si>
    <t>1 MWh net electricity delivered to the grid</t>
  </si>
  <si>
    <t>Reference flow</t>
  </si>
  <si>
    <t>Fuel, reagents, transport and waste services required to deliver 1 MWh net</t>
  </si>
  <si>
    <t>Time coverage</t>
  </si>
  <si>
    <t>Operating year 2025; economics in real 2026 terms</t>
  </si>
  <si>
    <t>Geography</t>
  </si>
  <si>
    <t>Indonesia — plantation and mill in Sumatra/Kalimantan, plant on Java</t>
  </si>
  <si>
    <t>Technology</t>
  </si>
  <si>
    <t>300 MW sub-critical pulverised-coal unit with ESP and wet FGD, direct co-firing through existing mills after crushing and drying</t>
  </si>
  <si>
    <t>System boundary — unit processes included</t>
  </si>
  <si>
    <t>Process</t>
  </si>
  <si>
    <t>Stage</t>
  </si>
  <si>
    <t>What it covers</t>
  </si>
  <si>
    <t>Included?</t>
  </si>
  <si>
    <t>P1_PKM</t>
  </si>
  <si>
    <t>Upstream</t>
  </si>
  <si>
    <t>Palm kernel shell at the mill gate, economically allocated (3.1% of mill revenue), including allocated plantation land occupation</t>
  </si>
  <si>
    <t>Included</t>
  </si>
  <si>
    <t>P2_Drying</t>
  </si>
  <si>
    <t>Drying to a target moisture content using biomass residue heat, plus crushing electricity and stockpile methane from storage</t>
  </si>
  <si>
    <t>P3_Transport</t>
  </si>
  <si>
    <t>Transport</t>
  </si>
  <si>
    <t>Road transport by 24 t diesel truck and, in the 30% case, coastal barge transport of 3 000 DWT</t>
  </si>
  <si>
    <t>P4_Handling</t>
  </si>
  <si>
    <t>Core</t>
  </si>
  <si>
    <t>Conveying, blending and milling at the plant — auxiliary electricity drawn from the grid model</t>
  </si>
  <si>
    <t>P5_Generation</t>
  </si>
  <si>
    <t>Boiler combustion of coal and PKS, FGD limestone supply, process and make-up water, stack emissions after ESP and FGD</t>
  </si>
  <si>
    <t>P6_Ash</t>
  </si>
  <si>
    <t>Downstream</t>
  </si>
  <si>
    <t>Controlled FABA landfilling of captured ash</t>
  </si>
  <si>
    <t>Plant construction</t>
  </si>
  <si>
    <t>Capital</t>
  </si>
  <si>
    <t>Civil works, boiler and turbine manufacture of the existing unit</t>
  </si>
  <si>
    <t>Cut off</t>
  </si>
  <si>
    <t>Retrofit hardware manufacture</t>
  </si>
  <si>
    <t>Manufacture of the co-firing handling and drying equipment</t>
  </si>
  <si>
    <t>Cut off (assessed in the TEA only)</t>
  </si>
  <si>
    <t>Decommissioning</t>
  </si>
  <si>
    <t>End of life</t>
  </si>
  <si>
    <t>Dismantling and site remediation</t>
  </si>
  <si>
    <t>Land use change</t>
  </si>
  <si>
    <t>Direct and indirect LUC of the oil palm estate</t>
  </si>
  <si>
    <t>Excluded — residue treatment, declared as a limitation</t>
  </si>
  <si>
    <t>Methodological choices</t>
  </si>
  <si>
    <t>Choice</t>
  </si>
  <si>
    <t>Setting</t>
  </si>
  <si>
    <t>Justification</t>
  </si>
  <si>
    <t>Allocation</t>
  </si>
  <si>
    <t>Economic allocation at the palm oil mill (3.1% to PKS)</t>
  </si>
  <si>
    <t>PKS carries a real market price; ISO 14044 allocation hierarchy — subdivision is not possible, so allocation reflects the economic driver.</t>
  </si>
  <si>
    <t>Biogenic carbon</t>
  </si>
  <si>
    <t>Reported separately, characterisation factor 0 kg CO2e/kg</t>
  </si>
  <si>
    <t>ISO 14067 requires fossil and biogenic carbon to be reported separately; the shells are a short-rotation residue.</t>
  </si>
  <si>
    <t>Cut-off criteria</t>
  </si>
  <si>
    <t>1% of mass, energy or environmental relevance per flow; 5% cumulative</t>
  </si>
  <si>
    <t>Standard practice; the cut-off flows are documented on the SOURCE GUIDE sheet.</t>
  </si>
  <si>
    <t>Electricity background</t>
  </si>
  <si>
    <t>Switchable — attributional average, marginal at time of use, marginal at time of construction, decarbonising 2040</t>
  </si>
  <si>
    <t>Auxiliary electricity is an ex-ante modelling choice, not a measurement; the switch shows how much the choice matters.</t>
  </si>
  <si>
    <t>Multi-functionality of ash</t>
  </si>
  <si>
    <t>FABA treated as waste to controlled landfill</t>
  </si>
  <si>
    <t>Conservative; FABA valorisation as a cement substitute would credit the system and is not claimed.</t>
  </si>
  <si>
    <t>Impact categories</t>
  </si>
  <si>
    <t>Seven ReCiPe 2016 midpoints</t>
  </si>
  <si>
    <t>Climate is the decision variable; the other six test for burden shifting.</t>
  </si>
  <si>
    <t>Uncertainty</t>
  </si>
  <si>
    <t>Pedigree-matrix lognormal uncertainty, 1 000 Monte Carlo iterations, Sobol variance decomposition</t>
  </si>
  <si>
    <t>Data quality differs sharply between metered coal flow and literature stockpile methane.</t>
  </si>
  <si>
    <t>ENGINEERING PARAMETERS — the only LCA inputs you need to edit</t>
  </si>
  <si>
    <t>Blue values are inputs. Every downstream sheet recalculates when you change them.</t>
  </si>
  <si>
    <t>Parameter</t>
  </si>
  <si>
    <t>Value</t>
  </si>
  <si>
    <t>Unit</t>
  </si>
  <si>
    <t>Source / basis</t>
  </si>
  <si>
    <t>Lower heating value, coal (4200 kcal GAR)</t>
  </si>
  <si>
    <t>MJ/kg</t>
  </si>
  <si>
    <t>Laboratory mean of 2025 sample set, ASTM D5865</t>
  </si>
  <si>
    <t>Lower heating value, PKS as received</t>
  </si>
  <si>
    <t>Ash content, coal (dry basis)</t>
  </si>
  <si>
    <t>kg/kg</t>
  </si>
  <si>
    <t>Laboratory mean, ASTM D3174</t>
  </si>
  <si>
    <t>Ash content, PKS (dry basis)</t>
  </si>
  <si>
    <t>Sulphur content, coal (dry basis)</t>
  </si>
  <si>
    <t>Laboratory mean, ASTM D4239</t>
  </si>
  <si>
    <t>Sulphur content, PKS (dry basis)</t>
  </si>
  <si>
    <t>Nitrogen content, coal (dry basis)</t>
  </si>
  <si>
    <t>Laboratory mean, ultimate analysis</t>
  </si>
  <si>
    <t>Nitrogen content, PKS (dry basis)</t>
  </si>
  <si>
    <t>CO2 emission factor, coal</t>
  </si>
  <si>
    <t>kg CO2/GJ</t>
  </si>
  <si>
    <t>IPCC 2006 Vol. 2, sub-bituminous coal default</t>
  </si>
  <si>
    <t>CO2 emission factor, PKS (biogenic)</t>
  </si>
  <si>
    <t>IPCC 2006 Vol. 2, other primary solid biomass</t>
  </si>
  <si>
    <t>CH4 emission factor, combustion</t>
  </si>
  <si>
    <t>kg CH4/GJ</t>
  </si>
  <si>
    <t>IPCC 2006, 1 g CH4/GJ</t>
  </si>
  <si>
    <t>N2O emission factor, combustion</t>
  </si>
  <si>
    <t>kg N2O/GJ</t>
  </si>
  <si>
    <t>IPCC 2006, 1.5 g N2O/GJ</t>
  </si>
  <si>
    <t>NOx emission factor, coal firing</t>
  </si>
  <si>
    <t>kg NOx/GJ</t>
  </si>
  <si>
    <t>CEMS Unit #2 annual mean 2025</t>
  </si>
  <si>
    <t>SO2 emission factor after FGD</t>
  </si>
  <si>
    <t>kg SO2/GJ</t>
  </si>
  <si>
    <t>CEMS 2025 with 90% FGD removal</t>
  </si>
  <si>
    <t>PM2.5 emission factor after ESP</t>
  </si>
  <si>
    <t>kg PM2.5/GJ</t>
  </si>
  <si>
    <t>Annual stack test, ESP 99.5% capture</t>
  </si>
  <si>
    <t>Ash capture to controlled landfill</t>
  </si>
  <si>
    <t>fraction</t>
  </si>
  <si>
    <t>Ash balance, B3 landfill weighbridge 2025</t>
  </si>
  <si>
    <t>FGD limestone per kg sulphur input</t>
  </si>
  <si>
    <t>kg/kg S</t>
  </si>
  <si>
    <t>FGD reagent store issue records</t>
  </si>
  <si>
    <t>Auxiliary electricity, conveying and milling</t>
  </si>
  <si>
    <t>kWh/kg fuel</t>
  </si>
  <si>
    <t>Plant own-use log 2025</t>
  </si>
  <si>
    <t>Process and make-up water</t>
  </si>
  <si>
    <t>m3/MJ fuel</t>
  </si>
  <si>
    <t>Water treatment plant balance</t>
  </si>
  <si>
    <t>Drying heat demand, PKS</t>
  </si>
  <si>
    <t>MJ/kg PKS</t>
  </si>
  <si>
    <t>Dryer energy balance, company visit June 2025</t>
  </si>
  <si>
    <t>Crushing electricity, PKS</t>
  </si>
  <si>
    <t>kWh/kg PKS</t>
  </si>
  <si>
    <t>75 kW crusher nameplate and throughput log</t>
  </si>
  <si>
    <t>Stockpile methane from PKS storage</t>
  </si>
  <si>
    <t>kg CH4/kg</t>
  </si>
  <si>
    <t>Biomass storage literature — weakest data point</t>
  </si>
  <si>
    <t>Allocated plantation land occupation</t>
  </si>
  <si>
    <t>m2a/kg PKS</t>
  </si>
  <si>
    <t>3.8 t CPO/ha/yr productivity, economically allocated</t>
  </si>
  <si>
    <t>PKS upstream burden per kg delivered</t>
  </si>
  <si>
    <t>Economic allocation is embedded in the background factor</t>
  </si>
  <si>
    <t>DERIVED PKS SCALING RATIOS (fuel-property based, black = formula)</t>
  </si>
  <si>
    <t>Ratio</t>
  </si>
  <si>
    <t>Basis</t>
  </si>
  <si>
    <t>NOx scaling, PKS vs coal</t>
  </si>
  <si>
    <t>-</t>
  </si>
  <si>
    <t>Ratio of fuel-bound nitrogen</t>
  </si>
  <si>
    <t>SO2 scaling, PKS vs coal</t>
  </si>
  <si>
    <t>Ratio of fuel sulphur</t>
  </si>
  <si>
    <t>PM2.5 scaling, PKS vs coal</t>
  </si>
  <si>
    <t>Ratio of fuel ash</t>
  </si>
  <si>
    <t>ELECTRICITY BACKGROUND MODEL (switchable)</t>
  </si>
  <si>
    <t>Active mode number (1-4)</t>
  </si>
  <si>
    <t>1 = attributional average (default), 2 = marginal time of use, 3 = marginal time of construction, 4 = decarbonising 2040</t>
  </si>
  <si>
    <t>#</t>
  </si>
  <si>
    <t>Mode</t>
  </si>
  <si>
    <t>GWP factor (kg CO2e/kWh)</t>
  </si>
  <si>
    <t>Co-burden scale</t>
  </si>
  <si>
    <t>Source</t>
  </si>
  <si>
    <t>Attributional grid average, time of use 2025</t>
  </si>
  <si>
    <t>KESDM Jamali grid emission factor 2025</t>
  </si>
  <si>
    <t>Marginal supplier, time of use (2025-2035)</t>
  </si>
  <si>
    <t>Coal condensing sets the dispatch margin, RUPTL base case</t>
  </si>
  <si>
    <t>Marginal supplier, time of construction (2024)</t>
  </si>
  <si>
    <t>Build-year marginal mix, coal with gas peaking</t>
  </si>
  <si>
    <t>Marginal supplier, decarbonising grid 2040</t>
  </si>
  <si>
    <t>Illustrative IAM-consistent pathway</t>
  </si>
  <si>
    <t>Active GWP factor</t>
  </si>
  <si>
    <t>Active co-burden scale</t>
  </si>
  <si>
    <t>Active mode name</t>
  </si>
  <si>
    <t>BACKGROUND (UPSTREAM) CHARACTERISED FACTORS</t>
  </si>
  <si>
    <t>One row per background activity, already characterised per ReCiPe 2016 midpoint. Electricity rows read the active mode from PARAMETERS.</t>
  </si>
  <si>
    <t>Background activity</t>
  </si>
  <si>
    <t>GWP100 (kg CO2e)</t>
  </si>
  <si>
    <t>Acidification (kg SO2e)</t>
  </si>
  <si>
    <t>Photochem. ozone (kg NOxe)</t>
  </si>
  <si>
    <t>PM formation (kg PM2.5e)</t>
  </si>
  <si>
    <t>Freshwater eutroph. (kg Pe)</t>
  </si>
  <si>
    <t>Land use (m2a)</t>
  </si>
  <si>
    <t>Water (m3)</t>
  </si>
  <si>
    <t>Data source</t>
  </si>
  <si>
    <t>PKS upstream, economically allocated</t>
  </si>
  <si>
    <t>kg</t>
  </si>
  <si>
    <t>Agribalyse / Indonesian palm literature</t>
  </si>
  <si>
    <t>Drying heat from biomass residue</t>
  </si>
  <si>
    <t>MJ</t>
  </si>
  <si>
    <t>Biogenic heat, low fossil CO2</t>
  </si>
  <si>
    <t>Crusher electricity (grid)</t>
  </si>
  <si>
    <t>kWh</t>
  </si>
  <si>
    <t>Jamali grid, active electricity mode</t>
  </si>
  <si>
    <t>Truck transport, diesel 24 t</t>
  </si>
  <si>
    <t>t.km</t>
  </si>
  <si>
    <t>ecoinvent 3.10 proxy, freight lorry</t>
  </si>
  <si>
    <t>Barge transport, 3000 DWT</t>
  </si>
  <si>
    <t>ecoinvent 3.10 proxy, inland waterways</t>
  </si>
  <si>
    <t>Conveyor and coal mill electricity (grid)</t>
  </si>
  <si>
    <t>Sub-bituminous coal, 4200 kcal GAR, at gate</t>
  </si>
  <si>
    <t>ecoinvent 3.10 proxy, market for hard coal ID</t>
  </si>
  <si>
    <t>FGD limestone</t>
  </si>
  <si>
    <t>ecoinvent 3.10 proxy, market for limestone</t>
  </si>
  <si>
    <t>m3</t>
  </si>
  <si>
    <t>ecoinvent 3.10 proxy, tap water RoW</t>
  </si>
  <si>
    <t>Controlled FABA landfilling</t>
  </si>
  <si>
    <t>ecoinvent 3.10 proxy, inert waste landfill</t>
  </si>
  <si>
    <t>Land use and water consumption are carried entirely by the foreground elementary flows, so the background columns are zero by construction.</t>
  </si>
  <si>
    <t>CHARACTERISATION FACTORS — ReCiPe 2016 v1.03 midpoint (H)</t>
  </si>
  <si>
    <t>Elementary flow</t>
  </si>
  <si>
    <t>Compartment</t>
  </si>
  <si>
    <t>Note</t>
  </si>
  <si>
    <t>Allocated oil palm land occupation</t>
  </si>
  <si>
    <t>raw</t>
  </si>
  <si>
    <t>m2a</t>
  </si>
  <si>
    <t>Crop-equivalent land occupation</t>
  </si>
  <si>
    <t>CH4 biogenic — PKS stockpile</t>
  </si>
  <si>
    <t>air</t>
  </si>
  <si>
    <t>AR5 GWP100, biogenic methane</t>
  </si>
  <si>
    <t>Consumptive water</t>
  </si>
  <si>
    <t>CO2 fossil</t>
  </si>
  <si>
    <t>Reference substance</t>
  </si>
  <si>
    <t>CO2 biogenic</t>
  </si>
  <si>
    <t>Reported separately, ISO 14067 clause 6.4.9</t>
  </si>
  <si>
    <t>CH4 fossil — combustion</t>
  </si>
  <si>
    <t>AR5 GWP100, fossil methane</t>
  </si>
  <si>
    <t>CH4 biogenic — combustion</t>
  </si>
  <si>
    <t>AR5 GWP100</t>
  </si>
  <si>
    <t>N2O</t>
  </si>
  <si>
    <t>AR6 GWP100</t>
  </si>
  <si>
    <t>NOx</t>
  </si>
  <si>
    <t>Acidification, ozone and secondary PM</t>
  </si>
  <si>
    <t>SO2</t>
  </si>
  <si>
    <t>Acidification and secondary PM</t>
  </si>
  <si>
    <t>PM2.5</t>
  </si>
  <si>
    <t>Primary particulate</t>
  </si>
  <si>
    <t>LIFE CYCLE INVENTORY PER 1 MWh NET DELIVERED</t>
  </si>
  <si>
    <t>Everything below the scenario drivers is a formula. Change a driver or a parameter and the whole inventory recomputes.</t>
  </si>
  <si>
    <t>SCENARIO DRIVERS (blue = input)</t>
  </si>
  <si>
    <t>Item</t>
  </si>
  <si>
    <t>Baseline 0%</t>
  </si>
  <si>
    <t>Co-firing 5%</t>
  </si>
  <si>
    <t>Co-firing 10%</t>
  </si>
  <si>
    <t>Co-firing 20%</t>
  </si>
  <si>
    <t>Co-firing 30% (barge)</t>
  </si>
  <si>
    <t>Co-firing share, energy basis</t>
  </si>
  <si>
    <t>%</t>
  </si>
  <si>
    <t>Efficiency penalty rises with co-firing share: mill throughput, higher moisture and lower flame temperature (plant test data, 2025).</t>
  </si>
  <si>
    <t>Road transport distance</t>
  </si>
  <si>
    <t>km</t>
  </si>
  <si>
    <t>Barge transport distance</t>
  </si>
  <si>
    <t>Net plant efficiency</t>
  </si>
  <si>
    <t>DERIVED FUEL AND ENERGY BALANCE</t>
  </si>
  <si>
    <t>Fuel energy input</t>
  </si>
  <si>
    <t>MJ/MWh</t>
  </si>
  <si>
    <t>Energy from coal</t>
  </si>
  <si>
    <t>Energy from PKS</t>
  </si>
  <si>
    <t>Coal consumption</t>
  </si>
  <si>
    <t>kg/MWh</t>
  </si>
  <si>
    <t>PKS consumption</t>
  </si>
  <si>
    <t>Total fuel mass</t>
  </si>
  <si>
    <t>Sulphur input</t>
  </si>
  <si>
    <t>Ash input</t>
  </si>
  <si>
    <t>TECHNOSPHERE INPUTS (rows aligned with the BACKGROUND sheet)</t>
  </si>
  <si>
    <t>Technosphere flow</t>
  </si>
  <si>
    <t>Crusher electricity</t>
  </si>
  <si>
    <t>Conveyor and coal mill electricity</t>
  </si>
  <si>
    <t>Sub-bituminous coal, 4200 kcal GAR</t>
  </si>
  <si>
    <t>ELEMENTARY FLOWS (rows aligned with the INDICATORS sheet)</t>
  </si>
  <si>
    <t>Cross-check: the 0% column reproduces the metered 2025 baseline inventory of Unit #2 (coal flow meter, CEMS, weighbridge).</t>
  </si>
  <si>
    <t>LIFE CYCLE IMPACT ASSESSMENT PER 1 MWh NET DELIVERED</t>
  </si>
  <si>
    <t>Background term = inventory x BACKGROUND factors. Foreground term = inventory x INDICATORS characterisation factors.</t>
  </si>
  <si>
    <t>1. GWP100 (climate change)</t>
  </si>
  <si>
    <t>kg CO2-eq</t>
  </si>
  <si>
    <t>Contribution</t>
  </si>
  <si>
    <t>Background (upstream and ancillary)</t>
  </si>
  <si>
    <t>Foreground (direct emissions and resources)</t>
  </si>
  <si>
    <t>TOTAL</t>
  </si>
  <si>
    <t>Memo: biogenic CO2 (reported separately, ISO 14067)</t>
  </si>
  <si>
    <t>kg CO2</t>
  </si>
  <si>
    <t>Reduction vs baseline</t>
  </si>
  <si>
    <t>2. Terrestrial acidification</t>
  </si>
  <si>
    <t>kg SO2-eq</t>
  </si>
  <si>
    <t>3. Photochemical ozone formation</t>
  </si>
  <si>
    <t>kg NOx-eq</t>
  </si>
  <si>
    <t>4. Fine particulate matter formation</t>
  </si>
  <si>
    <t>kg PM2.5-eq</t>
  </si>
  <si>
    <t>5. Freshwater eutrophication</t>
  </si>
  <si>
    <t>kg P-eq</t>
  </si>
  <si>
    <t>6. Land use</t>
  </si>
  <si>
    <t>m2a crop-eq</t>
  </si>
  <si>
    <t>7. Water consumption</t>
  </si>
  <si>
    <t>INTERPRETATION — contribution, uncertainty and key drivers (ISO 14044 clause 4.5)</t>
  </si>
  <si>
    <t>1. Climate result and stage contribution (kg CO2e per MWh)</t>
  </si>
  <si>
    <t>Life cycle stage</t>
  </si>
  <si>
    <t>P1_PKM — allocated PKS upstream</t>
  </si>
  <si>
    <t>P2_Drying — drying and crushing</t>
  </si>
  <si>
    <t>P3_Transport — truck and barge</t>
  </si>
  <si>
    <t>P4_Handling — conveying and milling</t>
  </si>
  <si>
    <t>P5_Generation — combustion, reagents, water</t>
  </si>
  <si>
    <t>P6_Ash — controlled FABA landfilling</t>
  </si>
  <si>
    <t>Total (check against IMPACT ASSESSMENT)</t>
  </si>
  <si>
    <t>Difference vs IMPACT ASSESSMENT total</t>
  </si>
  <si>
    <t>Share of total carried by direct combustion</t>
  </si>
  <si>
    <t>2. Uncertainty — pedigree-weighted Monte Carlo, 1 000 iterations, seed 20250617</t>
  </si>
  <si>
    <t>Statistic</t>
  </si>
  <si>
    <t>Mean</t>
  </si>
  <si>
    <t>Imported from the Brightway2 Monte Carlo run (output/monte_carlo.csv). Distributions are lognormal with pedigree-matrix geometric standard deviations.</t>
  </si>
  <si>
    <t>Median</t>
  </si>
  <si>
    <t>5th percentile</t>
  </si>
  <si>
    <t>95th percentile</t>
  </si>
  <si>
    <t>Coefficient of variation</t>
  </si>
  <si>
    <t>P(lower than baseline)</t>
  </si>
  <si>
    <t>Deterministic result</t>
  </si>
  <si>
    <t>Mean / deterministic ratio</t>
  </si>
  <si>
    <t>3. Key drivers — Sobol variance decomposition (30% co-firing case)</t>
  </si>
  <si>
    <t>First order S1</t>
  </si>
  <si>
    <t>Total order ST</t>
  </si>
  <si>
    <t>Share of variance</t>
  </si>
  <si>
    <t>Interpretation</t>
  </si>
  <si>
    <t>Coal CO2 emission factor</t>
  </si>
  <si>
    <t>Dominant — the result is essentially a coal-carbon calculation</t>
  </si>
  <si>
    <t>Coal lower heating value</t>
  </si>
  <si>
    <t>Second order; sets how much coal is burnt per MJ</t>
  </si>
  <si>
    <t>PKS lower heating value</t>
  </si>
  <si>
    <t>Matters only through the substituted coal mass</t>
  </si>
  <si>
    <t>Auxiliary electricity intensity</t>
  </si>
  <si>
    <t>Negligible at plant scale</t>
  </si>
  <si>
    <t>Negligible</t>
  </si>
  <si>
    <t>Stockpile methane</t>
  </si>
  <si>
    <t>Negligible despite the worst pedigree score</t>
  </si>
  <si>
    <t>Drying heat demand</t>
  </si>
  <si>
    <t>Negligible — biomass residue heat</t>
  </si>
  <si>
    <t>PKS CO2 emission factor</t>
  </si>
  <si>
    <t>Zero by construction: biogenic carbon is characterised at 0</t>
  </si>
  <si>
    <t>4. Completeness, consistency and conclusions</t>
  </si>
  <si>
    <t>Completeness check</t>
  </si>
  <si>
    <t>All flows above the 1% cut-off are included for every scenario; no data gap remains in the foreground. Background coverage relies on proxy datasets, declared as a limitation.</t>
  </si>
  <si>
    <t>Consistency check</t>
  </si>
  <si>
    <t>The same functional unit, allocation rule, cut-off and characterisation set are applied to every scenario; only the co-firing share, transport distances and net efficiency change.</t>
  </si>
  <si>
    <t>Sensitivity check</t>
  </si>
  <si>
    <t>The ranking of scenarios is unchanged across all four electricity background models and across the full Monte Carlo range for shares of 10% and above.</t>
  </si>
  <si>
    <t>Main conclusion</t>
  </si>
  <si>
    <t>Co-firing reduces the climate footprint of delivered electricity approximately linearly at about 8.7 kg CO2e per MWh per percentage point of co-firing, but the efficiency penalty absorbs roughly a quarter of the theoretical benefit.</t>
  </si>
  <si>
    <t>Caveat on low shares</t>
  </si>
  <si>
    <t>At 5% co-firing the probability of being better than the baseline is only 0.535 — statistically indistinguishable from no change once data quality is accounted for.</t>
  </si>
  <si>
    <t>Burden shifting</t>
  </si>
  <si>
    <t>Land occupation rises from zero to about 86 m2a per MWh and water consumption by around 6%, while acidification, ozone formation and particulate formation all fall.</t>
  </si>
  <si>
    <t>FUEL PRICES AND MACRO-ECONOMIC ASSUMPTIONS (real 2026 terms)</t>
  </si>
  <si>
    <t>Exchange rate</t>
  </si>
  <si>
    <t>IDR/USD</t>
  </si>
  <si>
    <t>Bank Indonesia reference rate, mid-2026 working assumption</t>
  </si>
  <si>
    <t>Coal delivered price, 4200 kcal GAR</t>
  </si>
  <si>
    <t>IDR/tonne</t>
  </si>
  <si>
    <t>DMO benchmark for 4200 GAR (about USD 46/t) plus inland freight to the jetty</t>
  </si>
  <si>
    <t>PKS delivered price at plant gate</t>
  </si>
  <si>
    <t>2025-2026 Sumatra/Kalimantan mill-gate band Rp 750 000 - 1 200 000 plus handling</t>
  </si>
  <si>
    <t>PKS price — low band</t>
  </si>
  <si>
    <t>Mill-gate price in a surplus season, short haul</t>
  </si>
  <si>
    <t>PKS price — high band</t>
  </si>
  <si>
    <t>Export-linked price, competition from pellet exporters</t>
  </si>
  <si>
    <t>Domestic carbon price</t>
  </si>
  <si>
    <t>IDR/tCO2e</t>
  </si>
  <si>
    <t>IDXCarbon traded range 2025-2026 (about USD 3.7/tCO2e)</t>
  </si>
  <si>
    <t>Weighted average cost of capital, real</t>
  </si>
  <si>
    <t>Utility-scale IPP hurdle rate in IDR real terms</t>
  </si>
  <si>
    <t>Evaluation period</t>
  </si>
  <si>
    <t>years</t>
  </si>
  <si>
    <t>Remaining technical life of the unit after retrofit</t>
  </si>
  <si>
    <t>Unit net capacity</t>
  </si>
  <si>
    <t>MW</t>
  </si>
  <si>
    <t>PLTU Unit #2 nameplate, net of own use</t>
  </si>
  <si>
    <t>Capacity factor</t>
  </si>
  <si>
    <t>2025 despatch record for the unit</t>
  </si>
  <si>
    <t>FGD limestone delivered</t>
  </si>
  <si>
    <t>Reagent purchase records 2025</t>
  </si>
  <si>
    <t>Controlled FABA disposal</t>
  </si>
  <si>
    <t>B3 landfill gate fee and haulage</t>
  </si>
  <si>
    <t>Process water</t>
  </si>
  <si>
    <t>IDR/m3</t>
  </si>
  <si>
    <t>Water treatment plant operating cost</t>
  </si>
  <si>
    <t>Own-use electricity opportunity value</t>
  </si>
  <si>
    <t>IDR/kWh</t>
  </si>
  <si>
    <t>Regional BPP for the Java-Bali system</t>
  </si>
  <si>
    <t>DERIVED QUANTITIES</t>
  </si>
  <si>
    <t>Annual net generation</t>
  </si>
  <si>
    <t>MWh/year</t>
  </si>
  <si>
    <t>Capital recovery factor</t>
  </si>
  <si>
    <t>1/year</t>
  </si>
  <si>
    <t>Coal price in USD</t>
  </si>
  <si>
    <t>USD/tonne</t>
  </si>
  <si>
    <t>PKS price in USD</t>
  </si>
  <si>
    <t>RETROFIT CAPITAL EXPENDITURE (IDR, real 2026)</t>
  </si>
  <si>
    <t>Reference package sized for 30% co-firing; other shares are scaled with a 0.7 capacity exponent, the usual convention for bulk handling equipment.</t>
  </si>
  <si>
    <t>REFERENCE PACKAGE AT 30% CO-FIRING (blue = input)</t>
  </si>
  <si>
    <t>Cost element</t>
  </si>
  <si>
    <t>Amount (IDR)</t>
  </si>
  <si>
    <t>Covered PKS storage, reclaim and yard civil works</t>
  </si>
  <si>
    <t>IDR</t>
  </si>
  <si>
    <t>Two 5 000 t covered stores, reclaimer, drainage</t>
  </si>
  <si>
    <t>Rotary dryer and hot-gas duct</t>
  </si>
  <si>
    <t>Biomass residue fired dryer sized for 30% share</t>
  </si>
  <si>
    <t>Crusher, screening and dedicated feeders</t>
  </si>
  <si>
    <t>Two-stage crushing to below 6 mm</t>
  </si>
  <si>
    <t>Mill and burner modification</t>
  </si>
  <si>
    <t>Classifier and burner tip changes on four mills</t>
  </si>
  <si>
    <t>Conveyors, blending and dust suppression</t>
  </si>
  <si>
    <t>Blending on the common belt before the bunkers</t>
  </si>
  <si>
    <t>Fire detection, explosion relief and instrumentation</t>
  </si>
  <si>
    <t>Biomass dust hazard mitigation</t>
  </si>
  <si>
    <t>Control system, CEMS and reporting upgrade</t>
  </si>
  <si>
    <t>Fuel-blend accounting for the co-firing claim</t>
  </si>
  <si>
    <t>Jetty and barge unloading upgrade</t>
  </si>
  <si>
    <t>Only needed for the barge-supplied 30% case</t>
  </si>
  <si>
    <t>Engineering, permits and owner cost</t>
  </si>
  <si>
    <t>10% of direct cost</t>
  </si>
  <si>
    <t>Subtotal, direct and indirect</t>
  </si>
  <si>
    <t>Contingency</t>
  </si>
  <si>
    <t>Contingency rate</t>
  </si>
  <si>
    <t>REFERENCE CAPEX AT 30% CO-FIRING</t>
  </si>
  <si>
    <t>Reference CAPEX excluding the jetty package (road-supplied cases)</t>
  </si>
  <si>
    <t>Reference share for the package</t>
  </si>
  <si>
    <t>Scaling exponent</t>
  </si>
  <si>
    <t>CAPEX BY SCENARIO</t>
  </si>
  <si>
    <t>Co-firing share</t>
  </si>
  <si>
    <t>Jetty upgrade required?</t>
  </si>
  <si>
    <t>No</t>
  </si>
  <si>
    <t>Yes</t>
  </si>
  <si>
    <t>Scaled retrofit CAPEX</t>
  </si>
  <si>
    <t>CAPEX in USD</t>
  </si>
  <si>
    <t>USD</t>
  </si>
  <si>
    <t>Specific CAPEX per kW installed</t>
  </si>
  <si>
    <t>USD/kW</t>
  </si>
  <si>
    <t>The jetty and barge unloading package is charged only to the 30% barge-supplied case; the smaller shares are served by the existing road route.</t>
  </si>
  <si>
    <t>ANNUAL OPERATING EXPENDITURE (IDR/year, real 2026)</t>
  </si>
  <si>
    <t>Fuel and consumable quantities are pulled from the INVENTORY sheet and multiplied by annual generation.</t>
  </si>
  <si>
    <t>Coal purchase</t>
  </si>
  <si>
    <t>IDR/yr</t>
  </si>
  <si>
    <t>PKS purchase</t>
  </si>
  <si>
    <t>Road transport surcharge</t>
  </si>
  <si>
    <t>Barge transport surcharge</t>
  </si>
  <si>
    <t>FABA disposal</t>
  </si>
  <si>
    <t>Additional own-use electricity (drying and crushing)</t>
  </si>
  <si>
    <t>Fixed O&amp;M uplift on the retrofit</t>
  </si>
  <si>
    <t>Variable O&amp;M uplift, biomass handling</t>
  </si>
  <si>
    <t>TOTAL ANNUAL OPEX</t>
  </si>
  <si>
    <t>Incremental OPEX vs baseline</t>
  </si>
  <si>
    <t>OPEX per MWh</t>
  </si>
  <si>
    <t>IDR/MWh</t>
  </si>
  <si>
    <t>OPEX RATE INPUTS</t>
  </si>
  <si>
    <t>Rate</t>
  </si>
  <si>
    <t>Road freight tariff</t>
  </si>
  <si>
    <t>IDR/t.km</t>
  </si>
  <si>
    <t>Contracted 24 t lorry rate, Sumatra-Java corridor 2026</t>
  </si>
  <si>
    <t>Coastal barge tariff</t>
  </si>
  <si>
    <t>3 000 DWT barge charter, bulk biomass</t>
  </si>
  <si>
    <t>Fixed O&amp;M as share of retrofit CAPEX</t>
  </si>
  <si>
    <t>fraction/yr</t>
  </si>
  <si>
    <t>Additional inspection, dust housekeeping, fire watch</t>
  </si>
  <si>
    <t>Variable O&amp;M per tonne of PKS handled</t>
  </si>
  <si>
    <t>Extra manning, wear parts, sampling and lab</t>
  </si>
  <si>
    <t>25-YEAR INCREMENTAL CASH FLOW (IDR, real terms, discounted at the WACC)</t>
  </si>
  <si>
    <t>Year 0 carries the retrofit CAPEX; years 1-25 carry total annual OPEX. LCOE is the ratio of discounted cost to discounted energy.</t>
  </si>
  <si>
    <t>Year</t>
  </si>
  <si>
    <t>Discount factor</t>
  </si>
  <si>
    <t>NPV cost</t>
  </si>
  <si>
    <t>Discounted energy</t>
  </si>
  <si>
    <t>MWh</t>
  </si>
  <si>
    <t>Fuel-and-O&amp;M LCOE</t>
  </si>
  <si>
    <t>The cash flow is incremental in the sense that it excludes the sunk capital of the existing unit; both baseline and co-firing cases carry their full fuel and consumable cost, so the difference between columns is the true cost of co-firing.</t>
  </si>
  <si>
    <t>LEVELISED COST OF ELECTRICITY AND COST BUILD-UP</t>
  </si>
  <si>
    <t>Annualised retrofit CAPEX</t>
  </si>
  <si>
    <t>Coal cost</t>
  </si>
  <si>
    <t>PKS cost</t>
  </si>
  <si>
    <t>Transport surcharge</t>
  </si>
  <si>
    <t>Reagents, water and ash</t>
  </si>
  <si>
    <t>Own-use electricity</t>
  </si>
  <si>
    <t>O&amp;M uplift</t>
  </si>
  <si>
    <t>LCOE (annuity method)</t>
  </si>
  <si>
    <t>LCOE (discounted cash flow cross-check)</t>
  </si>
  <si>
    <t>LCOE in IDR/kWh</t>
  </si>
  <si>
    <t>LCOE in USD/MWh</t>
  </si>
  <si>
    <t>USD/MWh</t>
  </si>
  <si>
    <t>Increment vs baseline</t>
  </si>
  <si>
    <t>The LCOE reported here is a fuel-and-operating LCOE for the existing unit: the sunk capital of the power block is excluded because it is identical in every scenario and does not affect the comparison.</t>
  </si>
  <si>
    <t>COST OF CARBON ABATEMENT AND BREAK-EVEN PKS PRICE</t>
  </si>
  <si>
    <t>Carbon footprint</t>
  </si>
  <si>
    <t>kg CO2e/MWh</t>
  </si>
  <si>
    <t>Abatement vs baseline</t>
  </si>
  <si>
    <t>Annual abatement</t>
  </si>
  <si>
    <t>tCO2e/yr</t>
  </si>
  <si>
    <t>Incremental LCOE</t>
  </si>
  <si>
    <t>Abatement cost</t>
  </si>
  <si>
    <t>IDR/kg CO2e</t>
  </si>
  <si>
    <t>USD/tCO2e</t>
  </si>
  <si>
    <t>Value of abatement at the domestic carbon price</t>
  </si>
  <si>
    <t>Net cost after carbon revenue</t>
  </si>
  <si>
    <t>Carbon price needed to break even</t>
  </si>
  <si>
    <t>BREAK-EVEN PKS PRICE (price at which co-firing costs the same as the baseline)</t>
  </si>
  <si>
    <t>PKS consumed</t>
  </si>
  <si>
    <t>t/MWh</t>
  </si>
  <si>
    <t>Non-fuel cost increment (CAPEX, O&amp;M, transport, own use)</t>
  </si>
  <si>
    <t>Break-even PKS price</t>
  </si>
  <si>
    <t>Headroom against the assumed PKS price</t>
  </si>
  <si>
    <t>A negative break-even price means co-firing cannot reach parity with coal at any purchase price, because the non-fuel cost increment alone exceeds the coal saving.</t>
  </si>
  <si>
    <t>SENSITIVITY ANALYSIS — 30% co-firing case</t>
  </si>
  <si>
    <t>One-at-a-time swings around the central case, and a two-way price grid. Blue cells are the low and high bounds.</t>
  </si>
  <si>
    <t>1. Tornado — effect on abatement cost (IDR/tCO2e)</t>
  </si>
  <si>
    <t>Variable</t>
  </si>
  <si>
    <t>Central</t>
  </si>
  <si>
    <t>Low bound</t>
  </si>
  <si>
    <t>High bound</t>
  </si>
  <si>
    <t>Cost at low</t>
  </si>
  <si>
    <t>Cost at high</t>
  </si>
  <si>
    <t>Swing</t>
  </si>
  <si>
    <t>PKS delivered price (IDR/t)</t>
  </si>
  <si>
    <t>Coal delivered price (IDR/t)</t>
  </si>
  <si>
    <t>Retrofit CAPEX (multiplier)</t>
  </si>
  <si>
    <t>WACC (real)</t>
  </si>
  <si>
    <t>Efficiency penalty at 30% (pp)</t>
  </si>
  <si>
    <t>Barge tariff (IDR/t.km)</t>
  </si>
  <si>
    <t>Central abatement cost</t>
  </si>
  <si>
    <t>2. Two-way grid — abatement cost (IDR/tCO2e) at 30% co-firing</t>
  </si>
  <si>
    <t>Rows: PKS price (IDR/t)  |  Columns: coal price (IDR/t)</t>
  </si>
  <si>
    <t>PKS \ Coal</t>
  </si>
  <si>
    <t>3. Environmental sensitivity — electricity background model</t>
  </si>
  <si>
    <t>Change the mode number on the PARAMETERS sheet (cell elec_mode) and every impact result updates. Reported GWP for 30% co-firing:</t>
  </si>
  <si>
    <t>Current mode</t>
  </si>
  <si>
    <t>GWP at 30% co-firing</t>
  </si>
  <si>
    <t>GWP at baseline</t>
  </si>
  <si>
    <t>DASHBOARD — PKS CO-FIRING, LCA AND TEA SUMMARY</t>
  </si>
  <si>
    <t>Indicator</t>
  </si>
  <si>
    <t>Biogenic CO2 (reported separately)</t>
  </si>
  <si>
    <t>kg CO2/MWh</t>
  </si>
  <si>
    <t>Probability of beating the baseline</t>
  </si>
  <si>
    <t>Monte Carlo 5th-95th percentile</t>
  </si>
  <si>
    <t>Terrestrial acidification</t>
  </si>
  <si>
    <t>kg SO2e/MWh</t>
  </si>
  <si>
    <t>Fine particulate formation</t>
  </si>
  <si>
    <t>kg PM2.5e/MWh</t>
  </si>
  <si>
    <t>Land occupation</t>
  </si>
  <si>
    <t>m2a/MWh</t>
  </si>
  <si>
    <t>Water consumption</t>
  </si>
  <si>
    <t>m3/MWh</t>
  </si>
  <si>
    <t>PKS demand</t>
  </si>
  <si>
    <t>t/year</t>
  </si>
  <si>
    <t>Coal displaced</t>
  </si>
  <si>
    <t>Retrofit CAPEX</t>
  </si>
  <si>
    <t>LCOE</t>
  </si>
  <si>
    <t>LCOE increment</t>
  </si>
  <si>
    <t>Headline reading</t>
  </si>
  <si>
    <t>•  Co-firing lowers the delivered carbon footprint roughly linearly, but the efficiency penalty and the extra PKS mass eat about a quarter of the theoretical saving.</t>
  </si>
  <si>
    <t>•  At 5% the improvement is not statistically robust: the probability of beating the baseline is 0.535, essentially a coin toss once pedigree uncertainty is applied.</t>
  </si>
  <si>
    <t>•  Climate is governed almost entirely by the coal carbon factor; every supply-chain parameter together explains less than 3% of the variance.</t>
  </si>
  <si>
    <t>•  Economically the measure is a high-cost abatement lever at the assumed PKS price, and it becomes attractive only if the delivered PKS price falls below the break-even value shown above or a materially higher carbon price applies.</t>
  </si>
  <si>
    <t>•  Burden shifting is limited to land occupation and a small water increase; acidification, ozone formation and particulate formation all improve.</t>
  </si>
  <si>
    <t>SOURCE GUIDE — provenance of every literal in this workbook</t>
  </si>
  <si>
    <t>Sheet</t>
  </si>
  <si>
    <t>Date / reference</t>
  </si>
  <si>
    <t>Fuel LHV, ash, sulphur, nitrogen</t>
  </si>
  <si>
    <t>Plant fuel laboratory, 2025 sample set, ASTM D5865 / D3174 / D4239</t>
  </si>
  <si>
    <t>Jan-Dec 2025, 40 samples</t>
  </si>
  <si>
    <t>CO2, CH4, N2O emission factors</t>
  </si>
  <si>
    <t>IPCC 2006 Guidelines Vol. 2 Ch. 2, Tables 2.2 and 2.3</t>
  </si>
  <si>
    <t>IPCC 2006</t>
  </si>
  <si>
    <t>NOx, SO2, PM2.5 factors</t>
  </si>
  <si>
    <t>Continuous emission monitoring system, Unit #2 annual mean</t>
  </si>
  <si>
    <t>2025 CEMS record</t>
  </si>
  <si>
    <t>Auxiliary and crusher electricity</t>
  </si>
  <si>
    <t>Plant own-use log and crusher nameplate/throughput record</t>
  </si>
  <si>
    <t>2025 operating log</t>
  </si>
  <si>
    <t>Biomass storage literature — lowest pedigree score in the study</t>
  </si>
  <si>
    <t>Literature, 2018-2023</t>
  </si>
  <si>
    <t>Estate productivity 3.8 t CPO/ha/yr with economic allocation to PKS</t>
  </si>
  <si>
    <t>Company visit, 17 June 2025</t>
  </si>
  <si>
    <t>Grid emission factors</t>
  </si>
  <si>
    <t>KESDM Java-Bali grid emission factor; marginal variants derived from RUPTL despatch logic</t>
  </si>
  <si>
    <t>KESDM 2025; RUPTL 2021-2030</t>
  </si>
  <si>
    <t>BACKGROUND</t>
  </si>
  <si>
    <t>Upstream factors</t>
  </si>
  <si>
    <t>ecoinvent 3.10-consistent proxy set, Indonesian markets where available</t>
  </si>
  <si>
    <t>ecoinvent 3.10 proxy</t>
  </si>
  <si>
    <t>INDICATORS</t>
  </si>
  <si>
    <t>Characterisation factors</t>
  </si>
  <si>
    <t>ReCiPe 2016 v1.03 midpoint (H); GWP100 from IPCC AR5/AR6</t>
  </si>
  <si>
    <t>ReCiPe 2016</t>
  </si>
  <si>
    <t>Scenario definitions</t>
  </si>
  <si>
    <t>pks-cofiring-brightway/data/scenarios.csv</t>
  </si>
  <si>
    <t>Model repository</t>
  </si>
  <si>
    <t>Monte Carlo statistics</t>
  </si>
  <si>
    <t>pks-cofiring-brightway/output/monte_carlo.csv, 1 000 iterations, seed 20250617</t>
  </si>
  <si>
    <t>Model run 2026</t>
  </si>
  <si>
    <t>Sobol indices</t>
  </si>
  <si>
    <t>pks-cofiring-brightway/output/sobol_indices.csv, SALib Saltelli sampling</t>
  </si>
  <si>
    <t>FUEL PRICES</t>
  </si>
  <si>
    <t>Coal price</t>
  </si>
  <si>
    <t>Domestic market obligation benchmark price for 4200 kcal GAR plus inland freight</t>
  </si>
  <si>
    <t>KESDM HBA/DMO 2025-2026</t>
  </si>
  <si>
    <t>PKS price</t>
  </si>
  <si>
    <t>Sumatra and Kalimantan mill-gate quotations, plus handling and margin</t>
  </si>
  <si>
    <t>Trade quotations 2025-2026</t>
  </si>
  <si>
    <t>Carbon price</t>
  </si>
  <si>
    <t>IDXCarbon traded price range</t>
  </si>
  <si>
    <t>2025-2026</t>
  </si>
  <si>
    <t>WACC, capacity factor</t>
  </si>
  <si>
    <t>Utility-scale IPP hurdle rate; unit despatch record</t>
  </si>
  <si>
    <t>2025</t>
  </si>
  <si>
    <t>CAPEX</t>
  </si>
  <si>
    <t>Retrofit package cost</t>
  </si>
  <si>
    <t>Vendor budgetary quotations and comparable Indonesian co-firing retrofits, scaled with a 0.7 exponent</t>
  </si>
  <si>
    <t>2025-2026 budget prices</t>
  </si>
  <si>
    <t>OPEX</t>
  </si>
  <si>
    <t>Freight tariffs</t>
  </si>
  <si>
    <t>Contracted lorry rate and 3 000 DWT barge charter for bulk biomass</t>
  </si>
  <si>
    <t>2026 contracts</t>
  </si>
  <si>
    <t>Additional manning, wear parts, sampling and fire watch for biomass handling</t>
  </si>
  <si>
    <t>Plant estimate</t>
  </si>
  <si>
    <t>Cut-off flows</t>
  </si>
  <si>
    <t>Excluded flows</t>
  </si>
  <si>
    <t>Lubricants, small chemical dosing, personnel transport, office energy — each below 1% of mass, energy and environmental relevance</t>
  </si>
  <si>
    <t>Cut-off register</t>
  </si>
  <si>
    <t>Robby Fajrino Nugraha — Sustainability Data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</si>
</sst>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000"/>
    <numFmt numFmtId="165" formatCode="0.0000"/>
    <numFmt numFmtId="166" formatCode="0.000"/>
    <numFmt numFmtId="167" formatCode="0.00000"/>
    <numFmt numFmtId="168" formatCode="0.0"/>
    <numFmt numFmtId="169" formatCode="#,##0.0;\(#,##0.0\);&quot;-&quot;"/>
    <numFmt numFmtId="170" formatCode="#,##0.000;\(#,##0.000\);&quot;-&quot;"/>
    <numFmt numFmtId="171" formatCode="0.0%;\(0.0%\);&quot;-&quot;"/>
    <numFmt numFmtId="172" formatCode="&quot;Rp&quot;\ #,##0;\(&quot;Rp&quot;\ #,##0\);&quot;-&quot;"/>
    <numFmt numFmtId="173" formatCode="#,##0;\(#,##0\);&quot;-&quot;"/>
    <numFmt numFmtId="174" formatCode="&quot;Rp&quot;\ #,##0.0;\(&quot;Rp&quot;\ #,##0.0\);&quot;-&quot;"/>
    <numFmt numFmtId="175" formatCode="&quot;$&quot;#,##0.00;\(&quot;$&quot;#,##0.00\);&quot;-&quot;"/>
  </numFmts>
  <fonts count="15" x14ac:knownFonts="1">
    <font>
      <sz val="11"/>
      <color theme="1"/>
      <name val="Calibri"/>
      <family val="2"/>
      <scheme val="minor"/>
    </font>
    <font>
      <b/>
      <sz val="14"/>
      <color rgb="FFFFFFFF"/>
      <name val="Arial"/>
    </font>
    <font>
      <b/>
      <sz val="10"/>
      <color rgb="FF000000"/>
      <name val="Arial"/>
    </font>
    <font>
      <sz val="10"/>
      <color rgb="FF000000"/>
      <name val="Arial"/>
    </font>
    <font>
      <b/>
      <sz val="11"/>
      <color rgb="FF000000"/>
      <name val="Arial"/>
    </font>
    <font>
      <b/>
      <sz val="10"/>
      <color rgb="FF0000FF"/>
      <name val="Arial"/>
    </font>
    <font>
      <b/>
      <sz val="10"/>
      <color rgb="FF008000"/>
      <name val="Arial"/>
    </font>
    <font>
      <b/>
      <sz val="10"/>
      <name val="Arial"/>
    </font>
    <font>
      <sz val="10"/>
      <color rgb="FFFF0000"/>
      <name val="Arial"/>
    </font>
    <font>
      <i/>
      <sz val="9"/>
      <color rgb="FF000000"/>
      <name val="Arial"/>
    </font>
    <font>
      <sz val="10"/>
      <color rgb="FF0000FF"/>
      <name val="Arial"/>
    </font>
    <font>
      <sz val="9"/>
      <color rgb="FF000000"/>
      <name val="Arial"/>
    </font>
    <font>
      <i/>
      <sz val="9"/>
      <color rgb="FF404040"/>
      <name val="Arial"/>
    </font>
    <font>
      <sz val="10"/>
      <color rgb="FF008000"/>
      <name val="Arial"/>
    </font>
    <font>
      <i/>
      <sz val="10"/>
      <color rgb="FF000000"/>
      <name val="Arial"/>
    </font>
  </fonts>
  <fills count="5">
    <fill>
      <patternFill patternType="none"/>
    </fill>
    <fill>
      <patternFill patternType="gray125"/>
    </fill>
    <fill>
      <patternFill patternType="solid">
        <fgColor rgb="FF1F4E36"/>
      </patternFill>
    </fill>
    <fill>
      <patternFill patternType="solid">
        <fgColor rgb="FFFFFF00"/>
      </patternFill>
    </fill>
    <fill>
      <patternFill patternType="solid">
        <fgColor rgb="FFD9E7D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0">
    <xf numFmtId="0" fontId="0" fillId="0" borderId="0" xfId="0"/>
    <xf numFmtId="0" fontId="1" fillId="2" borderId="0" xfId="0" applyFont="1" applyFill="1"/>
    <xf numFmtId="0" fontId="0" fillId="2" borderId="0" xfId="0" applyFill="1"/>
    <xf numFmtId="0" fontId="2" fillId="0" borderId="0" xfId="0" applyFont="1"/>
    <xf numFmtId="0" fontId="4" fillId="0" borderId="0" xfId="0" applyFont="1"/>
    <xf numFmtId="0" fontId="3" fillId="0" borderId="0" xfId="0" applyFont="1"/>
    <xf numFmtId="0" fontId="6" fillId="0" borderId="0" xfId="0" applyFont="1"/>
    <xf numFmtId="0" fontId="7" fillId="4" borderId="1" xfId="0" applyFont="1" applyFill="1" applyBorder="1" applyAlignment="1">
      <alignment horizontal="center" vertical="center" wrapText="1"/>
    </xf>
    <xf numFmtId="0" fontId="2" fillId="0" borderId="1" xfId="0" applyFont="1" applyBorder="1"/>
    <xf numFmtId="0" fontId="3" fillId="0" borderId="1" xfId="0" applyFont="1" applyBorder="1"/>
    <xf numFmtId="0" fontId="3" fillId="0" borderId="1" xfId="0" applyFont="1" applyBorder="1" applyAlignment="1">
      <alignment vertical="top" wrapText="1"/>
    </xf>
    <xf numFmtId="0" fontId="8" fillId="0" borderId="1" xfId="0" applyFont="1" applyBorder="1"/>
    <xf numFmtId="0" fontId="9" fillId="0" borderId="0" xfId="0" applyFont="1"/>
    <xf numFmtId="164" fontId="10" fillId="0" borderId="1" xfId="0" applyNumberFormat="1" applyFont="1" applyBorder="1"/>
    <xf numFmtId="0" fontId="11" fillId="0" borderId="1" xfId="0" applyFont="1" applyBorder="1" applyAlignment="1">
      <alignment vertical="top" wrapText="1"/>
    </xf>
    <xf numFmtId="165" fontId="3" fillId="0" borderId="0" xfId="0" applyNumberFormat="1" applyFont="1"/>
    <xf numFmtId="0" fontId="11" fillId="0" borderId="0" xfId="0" applyFont="1"/>
    <xf numFmtId="1" fontId="10" fillId="3" borderId="0" xfId="0" applyNumberFormat="1" applyFont="1" applyFill="1"/>
    <xf numFmtId="0" fontId="11" fillId="0" borderId="0" xfId="0" applyFont="1" applyAlignment="1">
      <alignment vertical="top" wrapText="1"/>
    </xf>
    <xf numFmtId="1" fontId="3" fillId="0" borderId="0" xfId="0" applyNumberFormat="1" applyFont="1"/>
    <xf numFmtId="166" fontId="10" fillId="0" borderId="0" xfId="0" applyNumberFormat="1" applyFont="1"/>
    <xf numFmtId="2" fontId="10" fillId="0" borderId="0" xfId="0" applyNumberFormat="1" applyFont="1"/>
    <xf numFmtId="166" fontId="3" fillId="0" borderId="0" xfId="0" applyNumberFormat="1" applyFont="1"/>
    <xf numFmtId="2" fontId="3" fillId="0" borderId="0" xfId="0" applyNumberFormat="1" applyFont="1"/>
    <xf numFmtId="0" fontId="12" fillId="0" borderId="0" xfId="0" applyFont="1"/>
    <xf numFmtId="167" fontId="10" fillId="0" borderId="1" xfId="0" applyNumberFormat="1" applyFont="1" applyBorder="1"/>
    <xf numFmtId="167" fontId="3" fillId="0" borderId="1" xfId="0" applyNumberFormat="1" applyFont="1" applyBorder="1"/>
    <xf numFmtId="0" fontId="11" fillId="0" borderId="1" xfId="0" applyFont="1" applyBorder="1"/>
    <xf numFmtId="167" fontId="13" fillId="0" borderId="1" xfId="0" applyNumberFormat="1" applyFont="1" applyBorder="1"/>
    <xf numFmtId="2" fontId="10" fillId="0" borderId="1" xfId="0" applyNumberFormat="1" applyFont="1" applyBorder="1"/>
    <xf numFmtId="168" fontId="10" fillId="0" borderId="0" xfId="0" applyNumberFormat="1" applyFont="1"/>
    <xf numFmtId="169" fontId="3" fillId="0" borderId="0" xfId="0" applyNumberFormat="1" applyFont="1"/>
    <xf numFmtId="170" fontId="3" fillId="0" borderId="0" xfId="0" applyNumberFormat="1" applyFont="1"/>
    <xf numFmtId="167" fontId="3" fillId="0" borderId="0" xfId="0" applyNumberFormat="1" applyFont="1"/>
    <xf numFmtId="170" fontId="3" fillId="0" borderId="1" xfId="0" applyNumberFormat="1" applyFont="1" applyBorder="1"/>
    <xf numFmtId="170" fontId="2" fillId="0" borderId="1" xfId="0" applyNumberFormat="1" applyFont="1" applyBorder="1"/>
    <xf numFmtId="0" fontId="14" fillId="0" borderId="0" xfId="0" applyFont="1"/>
    <xf numFmtId="169" fontId="14" fillId="0" borderId="0" xfId="0" applyNumberFormat="1" applyFont="1"/>
    <xf numFmtId="171" fontId="14" fillId="0" borderId="0" xfId="0" applyNumberFormat="1" applyFont="1"/>
    <xf numFmtId="169" fontId="2" fillId="0" borderId="0" xfId="0" applyNumberFormat="1" applyFont="1"/>
    <xf numFmtId="164" fontId="14" fillId="0" borderId="0" xfId="0" applyNumberFormat="1" applyFont="1"/>
    <xf numFmtId="169" fontId="10" fillId="0" borderId="0" xfId="0" applyNumberFormat="1" applyFont="1"/>
    <xf numFmtId="169" fontId="6" fillId="0" borderId="0" xfId="0" applyNumberFormat="1" applyFont="1"/>
    <xf numFmtId="166" fontId="14" fillId="0" borderId="0" xfId="0" applyNumberFormat="1" applyFont="1"/>
    <xf numFmtId="165" fontId="10" fillId="0" borderId="0" xfId="0" applyNumberFormat="1" applyFont="1"/>
    <xf numFmtId="171" fontId="3" fillId="0" borderId="0" xfId="0" applyNumberFormat="1" applyFont="1"/>
    <xf numFmtId="172" fontId="10" fillId="0" borderId="1" xfId="0" applyNumberFormat="1" applyFont="1" applyBorder="1"/>
    <xf numFmtId="173" fontId="10" fillId="0" borderId="1" xfId="0" applyNumberFormat="1" applyFont="1" applyBorder="1"/>
    <xf numFmtId="173" fontId="3" fillId="0" borderId="0" xfId="0" applyNumberFormat="1" applyFont="1"/>
    <xf numFmtId="172" fontId="10" fillId="0" borderId="0" xfId="0" applyNumberFormat="1" applyFont="1"/>
    <xf numFmtId="172" fontId="2" fillId="0" borderId="0" xfId="0" applyNumberFormat="1" applyFont="1"/>
    <xf numFmtId="172" fontId="3" fillId="0" borderId="0" xfId="0" applyNumberFormat="1" applyFont="1"/>
    <xf numFmtId="171" fontId="10" fillId="3" borderId="0" xfId="0" applyNumberFormat="1" applyFont="1" applyFill="1"/>
    <xf numFmtId="1" fontId="10" fillId="0" borderId="0" xfId="0" applyNumberFormat="1" applyFont="1"/>
    <xf numFmtId="2" fontId="10" fillId="3" borderId="0" xfId="0" applyNumberFormat="1" applyFont="1" applyFill="1"/>
    <xf numFmtId="168" fontId="13" fillId="0" borderId="0" xfId="0" applyNumberFormat="1" applyFont="1"/>
    <xf numFmtId="0" fontId="10" fillId="0" borderId="0" xfId="0" applyFont="1"/>
    <xf numFmtId="171" fontId="10" fillId="0" borderId="0" xfId="0" applyNumberFormat="1" applyFont="1"/>
    <xf numFmtId="173" fontId="2" fillId="0" borderId="0" xfId="0" applyNumberFormat="1" applyFont="1"/>
    <xf numFmtId="172" fontId="13" fillId="0" borderId="0" xfId="0" applyNumberFormat="1" applyFont="1"/>
    <xf numFmtId="174" fontId="3" fillId="0" borderId="0" xfId="0" applyNumberFormat="1" applyFont="1"/>
    <xf numFmtId="175" fontId="3" fillId="0" borderId="0" xfId="0" applyNumberFormat="1" applyFont="1"/>
    <xf numFmtId="169" fontId="13" fillId="0" borderId="0" xfId="0" applyNumberFormat="1" applyFont="1"/>
    <xf numFmtId="174" fontId="2" fillId="0" borderId="0" xfId="0" applyNumberFormat="1" applyFont="1"/>
    <xf numFmtId="175" fontId="2" fillId="0" borderId="0" xfId="0" applyNumberFormat="1" applyFont="1"/>
    <xf numFmtId="165" fontId="13" fillId="0" borderId="0" xfId="0" applyNumberFormat="1" applyFont="1"/>
    <xf numFmtId="173" fontId="10" fillId="0" borderId="0" xfId="0" applyNumberFormat="1" applyFont="1"/>
    <xf numFmtId="172" fontId="2" fillId="4" borderId="0" xfId="0" applyNumberFormat="1" applyFont="1" applyFill="1"/>
    <xf numFmtId="0" fontId="13" fillId="0" borderId="0" xfId="0" applyFont="1"/>
    <xf numFmtId="169" fontId="13" fillId="0" borderId="1" xfId="0" applyNumberFormat="1" applyFont="1" applyBorder="1"/>
    <xf numFmtId="171" fontId="13" fillId="0" borderId="1" xfId="0" applyNumberFormat="1" applyFont="1" applyBorder="1"/>
    <xf numFmtId="166" fontId="13" fillId="0" borderId="1" xfId="0" applyNumberFormat="1" applyFont="1" applyBorder="1"/>
    <xf numFmtId="0" fontId="13" fillId="0" borderId="1" xfId="0" applyFont="1" applyBorder="1"/>
    <xf numFmtId="170" fontId="13" fillId="0" borderId="1" xfId="0" applyNumberFormat="1" applyFont="1" applyBorder="1"/>
    <xf numFmtId="173" fontId="13" fillId="0" borderId="1" xfId="0" applyNumberFormat="1" applyFont="1" applyBorder="1"/>
    <xf numFmtId="172" fontId="13" fillId="0" borderId="1" xfId="0" applyNumberFormat="1" applyFont="1" applyBorder="1"/>
    <xf numFmtId="175" fontId="13" fillId="0" borderId="1" xfId="0" applyNumberFormat="1" applyFont="1" applyBorder="1"/>
    <xf numFmtId="0" fontId="2" fillId="0" borderId="2" xfId="0" applyFont="1" applyBorder="1"/>
    <xf numFmtId="0" fontId="3" fillId="0" borderId="2" xfId="0" applyFont="1" applyBorder="1" applyAlignment="1">
      <alignment vertical="top" wrapText="1"/>
    </xf>
    <xf numFmtId="0" fontId="5" fillId="0" borderId="2" xfId="0" applyFont="1" applyBorder="1"/>
    <xf numFmtId="0" fontId="3" fillId="0" borderId="2" xfId="0" applyFont="1" applyBorder="1"/>
    <xf numFmtId="0" fontId="6" fillId="0" borderId="2" xfId="0" applyFont="1" applyBorder="1"/>
    <xf numFmtId="0" fontId="2" fillId="3" borderId="2" xfId="0" applyFont="1" applyFill="1" applyBorder="1"/>
    <xf numFmtId="0" fontId="2"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3" fillId="0" borderId="0" xfId="0" applyFont="1" applyAlignment="1">
      <alignment vertical="top" wrapText="1"/>
    </xf>
    <xf numFmtId="0" fontId="0" fillId="0" borderId="0" xfId="0"/>
    <xf numFmtId="0" fontId="9" fillId="0" borderId="0" xfId="0" applyFont="1"/>
    <xf numFmtId="0" fontId="1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showGridLines="0" tabSelected="1" topLeftCell="A16" workbookViewId="0">
      <selection activeCell="B33" sqref="B33"/>
    </sheetView>
  </sheetViews>
  <sheetFormatPr defaultRowHeight="14.4" x14ac:dyDescent="0.3"/>
  <cols>
    <col min="1" max="1" width="34" customWidth="1"/>
    <col min="2" max="2" width="76" customWidth="1"/>
    <col min="3" max="7" width="18" customWidth="1"/>
  </cols>
  <sheetData>
    <row r="1" spans="1:7" ht="24" customHeight="1" x14ac:dyDescent="0.3">
      <c r="A1" s="1" t="s">
        <v>0</v>
      </c>
      <c r="B1" s="2"/>
      <c r="C1" s="2"/>
      <c r="D1" s="2"/>
      <c r="E1" s="2"/>
      <c r="F1" s="2"/>
      <c r="G1" s="2"/>
    </row>
    <row r="4" spans="1:7" ht="28.05" customHeight="1" x14ac:dyDescent="0.3">
      <c r="A4" s="83" t="s">
        <v>1</v>
      </c>
      <c r="B4" s="84" t="s">
        <v>2</v>
      </c>
    </row>
    <row r="5" spans="1:7" ht="28.05" customHeight="1" x14ac:dyDescent="0.3">
      <c r="A5" s="83" t="s">
        <v>3</v>
      </c>
      <c r="B5" s="84" t="s">
        <v>4</v>
      </c>
    </row>
    <row r="6" spans="1:7" ht="28.05" customHeight="1" x14ac:dyDescent="0.3">
      <c r="A6" s="83" t="s">
        <v>5</v>
      </c>
      <c r="B6" s="84" t="s">
        <v>6</v>
      </c>
    </row>
    <row r="7" spans="1:7" ht="28.05" customHeight="1" x14ac:dyDescent="0.3">
      <c r="A7" s="83" t="s">
        <v>7</v>
      </c>
      <c r="B7" s="84" t="s">
        <v>8</v>
      </c>
    </row>
    <row r="8" spans="1:7" ht="28.05" customHeight="1" x14ac:dyDescent="0.3">
      <c r="A8" s="83" t="s">
        <v>9</v>
      </c>
      <c r="B8" s="84" t="s">
        <v>10</v>
      </c>
    </row>
    <row r="9" spans="1:7" ht="28.05" customHeight="1" x14ac:dyDescent="0.3">
      <c r="A9" s="83" t="s">
        <v>11</v>
      </c>
      <c r="B9" s="84" t="s">
        <v>12</v>
      </c>
    </row>
    <row r="10" spans="1:7" ht="28.05" customHeight="1" x14ac:dyDescent="0.3">
      <c r="A10" s="83" t="s">
        <v>13</v>
      </c>
      <c r="B10" s="84" t="s">
        <v>14</v>
      </c>
    </row>
    <row r="11" spans="1:7" ht="28.05" customHeight="1" x14ac:dyDescent="0.3">
      <c r="A11" s="83" t="s">
        <v>15</v>
      </c>
      <c r="B11" s="84" t="s">
        <v>16</v>
      </c>
    </row>
    <row r="12" spans="1:7" ht="28.05" customHeight="1" x14ac:dyDescent="0.3">
      <c r="A12" s="83" t="s">
        <v>17</v>
      </c>
      <c r="B12" s="84" t="s">
        <v>18</v>
      </c>
    </row>
    <row r="13" spans="1:7" ht="28.05" customHeight="1" x14ac:dyDescent="0.3">
      <c r="A13" s="83" t="s">
        <v>19</v>
      </c>
      <c r="B13" s="84" t="s">
        <v>20</v>
      </c>
    </row>
    <row r="14" spans="1:7" ht="28.05" customHeight="1" x14ac:dyDescent="0.3">
      <c r="A14" s="83" t="s">
        <v>21</v>
      </c>
      <c r="B14" s="84" t="s">
        <v>22</v>
      </c>
    </row>
    <row r="15" spans="1:7" ht="28.05" customHeight="1" x14ac:dyDescent="0.3">
      <c r="A15" s="83" t="s">
        <v>23</v>
      </c>
      <c r="B15" s="84" t="s">
        <v>691</v>
      </c>
    </row>
    <row r="16" spans="1:7" ht="28.05" customHeight="1" x14ac:dyDescent="0.3">
      <c r="A16" s="83" t="s">
        <v>24</v>
      </c>
      <c r="B16" s="84" t="s">
        <v>25</v>
      </c>
    </row>
    <row r="18" spans="1:2" x14ac:dyDescent="0.3">
      <c r="A18" s="4" t="s">
        <v>26</v>
      </c>
    </row>
    <row r="19" spans="1:2" x14ac:dyDescent="0.3">
      <c r="A19" s="79" t="s">
        <v>27</v>
      </c>
      <c r="B19" s="80" t="s">
        <v>28</v>
      </c>
    </row>
    <row r="20" spans="1:2" x14ac:dyDescent="0.3">
      <c r="A20" s="77" t="s">
        <v>29</v>
      </c>
      <c r="B20" s="80" t="s">
        <v>30</v>
      </c>
    </row>
    <row r="21" spans="1:2" x14ac:dyDescent="0.3">
      <c r="A21" s="81" t="s">
        <v>31</v>
      </c>
      <c r="B21" s="80" t="s">
        <v>32</v>
      </c>
    </row>
    <row r="22" spans="1:2" x14ac:dyDescent="0.3">
      <c r="A22" s="82" t="s">
        <v>33</v>
      </c>
      <c r="B22" s="80" t="s">
        <v>34</v>
      </c>
    </row>
    <row r="24" spans="1:2" x14ac:dyDescent="0.3">
      <c r="A24" s="4" t="s">
        <v>35</v>
      </c>
    </row>
    <row r="25" spans="1:2" x14ac:dyDescent="0.3">
      <c r="A25" s="77" t="s">
        <v>36</v>
      </c>
      <c r="B25" s="78" t="s">
        <v>37</v>
      </c>
    </row>
    <row r="26" spans="1:2" x14ac:dyDescent="0.3">
      <c r="A26" s="77" t="s">
        <v>38</v>
      </c>
      <c r="B26" s="78" t="s">
        <v>39</v>
      </c>
    </row>
    <row r="27" spans="1:2" x14ac:dyDescent="0.3">
      <c r="A27" s="77" t="s">
        <v>40</v>
      </c>
      <c r="B27" s="78" t="s">
        <v>41</v>
      </c>
    </row>
    <row r="28" spans="1:2" x14ac:dyDescent="0.3">
      <c r="A28" s="77" t="s">
        <v>42</v>
      </c>
      <c r="B28" s="78" t="s">
        <v>43</v>
      </c>
    </row>
    <row r="29" spans="1:2" x14ac:dyDescent="0.3">
      <c r="A29" s="77" t="s">
        <v>44</v>
      </c>
      <c r="B29" s="78" t="s">
        <v>45</v>
      </c>
    </row>
    <row r="30" spans="1:2" x14ac:dyDescent="0.3">
      <c r="A30" s="77" t="s">
        <v>46</v>
      </c>
      <c r="B30" s="78" t="s">
        <v>47</v>
      </c>
    </row>
    <row r="31" spans="1:2" x14ac:dyDescent="0.3">
      <c r="A31" s="77" t="s">
        <v>48</v>
      </c>
      <c r="B31" s="78" t="s">
        <v>49</v>
      </c>
    </row>
    <row r="32" spans="1:2" x14ac:dyDescent="0.3">
      <c r="A32" s="77" t="s">
        <v>50</v>
      </c>
      <c r="B32" s="78" t="s">
        <v>51</v>
      </c>
    </row>
    <row r="33" spans="1:2" x14ac:dyDescent="0.3">
      <c r="A33" s="77" t="s">
        <v>52</v>
      </c>
      <c r="B33" s="78" t="s">
        <v>53</v>
      </c>
    </row>
    <row r="34" spans="1:2" x14ac:dyDescent="0.3">
      <c r="A34" s="77" t="s">
        <v>54</v>
      </c>
      <c r="B34" s="78" t="s">
        <v>55</v>
      </c>
    </row>
    <row r="35" spans="1:2" x14ac:dyDescent="0.3">
      <c r="A35" s="77" t="s">
        <v>56</v>
      </c>
      <c r="B35" s="78" t="s">
        <v>57</v>
      </c>
    </row>
    <row r="36" spans="1:2" x14ac:dyDescent="0.3">
      <c r="A36" s="77" t="s">
        <v>58</v>
      </c>
      <c r="B36" s="78"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selection activeCell="B21" sqref="B21"/>
    </sheetView>
  </sheetViews>
  <sheetFormatPr defaultRowHeight="14.4" x14ac:dyDescent="0.3"/>
  <cols>
    <col min="1" max="1" width="30" customWidth="1"/>
    <col min="2" max="2" width="92" customWidth="1"/>
    <col min="3" max="7" width="16" customWidth="1"/>
  </cols>
  <sheetData>
    <row r="1" spans="1:7" ht="24" customHeight="1" x14ac:dyDescent="0.3">
      <c r="A1" s="1" t="s">
        <v>60</v>
      </c>
      <c r="B1" s="2"/>
      <c r="C1" s="2"/>
      <c r="D1" s="2"/>
      <c r="E1" s="2"/>
      <c r="F1" s="2"/>
      <c r="G1" s="2"/>
    </row>
    <row r="4" spans="1:7" ht="58.05" customHeight="1" x14ac:dyDescent="0.3">
      <c r="A4" s="83" t="s">
        <v>61</v>
      </c>
      <c r="B4" s="84" t="s">
        <v>62</v>
      </c>
    </row>
    <row r="5" spans="1:7" x14ac:dyDescent="0.3">
      <c r="A5" s="85"/>
      <c r="B5" s="85"/>
    </row>
    <row r="6" spans="1:7" ht="58.05" customHeight="1" x14ac:dyDescent="0.3">
      <c r="A6" s="83" t="s">
        <v>63</v>
      </c>
      <c r="B6" s="84" t="s">
        <v>64</v>
      </c>
    </row>
    <row r="7" spans="1:7" x14ac:dyDescent="0.3">
      <c r="A7" s="85"/>
      <c r="B7" s="85"/>
    </row>
    <row r="8" spans="1:7" ht="58.05" customHeight="1" x14ac:dyDescent="0.3">
      <c r="A8" s="83" t="s">
        <v>65</v>
      </c>
      <c r="B8" s="84" t="s">
        <v>66</v>
      </c>
    </row>
    <row r="9" spans="1:7" x14ac:dyDescent="0.3">
      <c r="A9" s="85"/>
      <c r="B9" s="85"/>
    </row>
    <row r="10" spans="1:7" ht="58.05" customHeight="1" x14ac:dyDescent="0.3">
      <c r="A10" s="83" t="s">
        <v>67</v>
      </c>
      <c r="B10" s="84" t="s">
        <v>68</v>
      </c>
    </row>
    <row r="11" spans="1:7" x14ac:dyDescent="0.3">
      <c r="A11" s="85"/>
      <c r="B11" s="85"/>
    </row>
    <row r="12" spans="1:7" ht="58.05" customHeight="1" x14ac:dyDescent="0.3">
      <c r="A12" s="83" t="s">
        <v>69</v>
      </c>
      <c r="B12" s="84" t="s">
        <v>70</v>
      </c>
    </row>
    <row r="13" spans="1:7" x14ac:dyDescent="0.3">
      <c r="A13" s="85"/>
      <c r="B13" s="85"/>
    </row>
    <row r="14" spans="1:7" ht="58.05" customHeight="1" x14ac:dyDescent="0.3">
      <c r="A14" s="83" t="s">
        <v>71</v>
      </c>
      <c r="B14" s="84" t="s">
        <v>72</v>
      </c>
    </row>
    <row r="15" spans="1:7" x14ac:dyDescent="0.3">
      <c r="A15" s="85"/>
      <c r="B15" s="85"/>
    </row>
    <row r="16" spans="1:7" ht="58.05" customHeight="1" x14ac:dyDescent="0.3">
      <c r="A16" s="83" t="s">
        <v>73</v>
      </c>
      <c r="B16" s="84" t="s">
        <v>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showGridLines="0" topLeftCell="A18" workbookViewId="0"/>
  </sheetViews>
  <sheetFormatPr defaultRowHeight="14.4" x14ac:dyDescent="0.3"/>
  <cols>
    <col min="1" max="1" width="28" customWidth="1"/>
    <col min="2" max="2" width="26" customWidth="1"/>
    <col min="3" max="3" width="60" customWidth="1"/>
    <col min="4" max="4" width="20" customWidth="1"/>
    <col min="5" max="7" width="18" customWidth="1"/>
  </cols>
  <sheetData>
    <row r="1" spans="1:7" ht="24" customHeight="1" x14ac:dyDescent="0.3">
      <c r="A1" s="1" t="s">
        <v>75</v>
      </c>
      <c r="B1" s="2"/>
      <c r="C1" s="2"/>
      <c r="D1" s="2"/>
      <c r="E1" s="2"/>
      <c r="F1" s="2"/>
      <c r="G1" s="2"/>
    </row>
    <row r="4" spans="1:7" x14ac:dyDescent="0.3">
      <c r="A4" s="4" t="s">
        <v>76</v>
      </c>
    </row>
    <row r="5" spans="1:7" x14ac:dyDescent="0.3">
      <c r="A5" s="3" t="s">
        <v>77</v>
      </c>
      <c r="B5" s="86" t="s">
        <v>78</v>
      </c>
      <c r="C5" s="87"/>
    </row>
    <row r="6" spans="1:7" x14ac:dyDescent="0.3">
      <c r="A6" s="3" t="s">
        <v>5</v>
      </c>
      <c r="B6" s="86" t="s">
        <v>79</v>
      </c>
      <c r="C6" s="87"/>
    </row>
    <row r="7" spans="1:7" x14ac:dyDescent="0.3">
      <c r="A7" s="3" t="s">
        <v>80</v>
      </c>
      <c r="B7" s="86" t="s">
        <v>81</v>
      </c>
      <c r="C7" s="87"/>
    </row>
    <row r="8" spans="1:7" x14ac:dyDescent="0.3">
      <c r="A8" s="3" t="s">
        <v>82</v>
      </c>
      <c r="B8" s="86" t="s">
        <v>83</v>
      </c>
      <c r="C8" s="87"/>
    </row>
    <row r="9" spans="1:7" x14ac:dyDescent="0.3">
      <c r="A9" s="3" t="s">
        <v>84</v>
      </c>
      <c r="B9" s="86" t="s">
        <v>85</v>
      </c>
      <c r="C9" s="87"/>
    </row>
    <row r="10" spans="1:7" x14ac:dyDescent="0.3">
      <c r="A10" s="3" t="s">
        <v>86</v>
      </c>
      <c r="B10" s="86" t="s">
        <v>87</v>
      </c>
      <c r="C10" s="87"/>
    </row>
    <row r="12" spans="1:7" x14ac:dyDescent="0.3">
      <c r="A12" s="4" t="s">
        <v>88</v>
      </c>
    </row>
    <row r="13" spans="1:7" x14ac:dyDescent="0.3">
      <c r="A13" s="7" t="s">
        <v>89</v>
      </c>
      <c r="B13" s="7" t="s">
        <v>90</v>
      </c>
      <c r="C13" s="7" t="s">
        <v>91</v>
      </c>
      <c r="D13" s="7" t="s">
        <v>92</v>
      </c>
    </row>
    <row r="14" spans="1:7" ht="30" customHeight="1" x14ac:dyDescent="0.3">
      <c r="A14" s="8" t="s">
        <v>93</v>
      </c>
      <c r="B14" s="9" t="s">
        <v>94</v>
      </c>
      <c r="C14" s="10" t="s">
        <v>95</v>
      </c>
      <c r="D14" s="9" t="s">
        <v>96</v>
      </c>
    </row>
    <row r="15" spans="1:7" ht="30" customHeight="1" x14ac:dyDescent="0.3">
      <c r="A15" s="8" t="s">
        <v>97</v>
      </c>
      <c r="B15" s="9" t="s">
        <v>94</v>
      </c>
      <c r="C15" s="10" t="s">
        <v>98</v>
      </c>
      <c r="D15" s="9" t="s">
        <v>96</v>
      </c>
    </row>
    <row r="16" spans="1:7" ht="30" customHeight="1" x14ac:dyDescent="0.3">
      <c r="A16" s="8" t="s">
        <v>99</v>
      </c>
      <c r="B16" s="9" t="s">
        <v>100</v>
      </c>
      <c r="C16" s="10" t="s">
        <v>101</v>
      </c>
      <c r="D16" s="9" t="s">
        <v>96</v>
      </c>
    </row>
    <row r="17" spans="1:4" ht="30" customHeight="1" x14ac:dyDescent="0.3">
      <c r="A17" s="8" t="s">
        <v>102</v>
      </c>
      <c r="B17" s="9" t="s">
        <v>103</v>
      </c>
      <c r="C17" s="10" t="s">
        <v>104</v>
      </c>
      <c r="D17" s="9" t="s">
        <v>96</v>
      </c>
    </row>
    <row r="18" spans="1:4" ht="30" customHeight="1" x14ac:dyDescent="0.3">
      <c r="A18" s="8" t="s">
        <v>105</v>
      </c>
      <c r="B18" s="9" t="s">
        <v>103</v>
      </c>
      <c r="C18" s="10" t="s">
        <v>106</v>
      </c>
      <c r="D18" s="9" t="s">
        <v>96</v>
      </c>
    </row>
    <row r="19" spans="1:4" ht="30" customHeight="1" x14ac:dyDescent="0.3">
      <c r="A19" s="8" t="s">
        <v>107</v>
      </c>
      <c r="B19" s="9" t="s">
        <v>108</v>
      </c>
      <c r="C19" s="10" t="s">
        <v>109</v>
      </c>
      <c r="D19" s="9" t="s">
        <v>96</v>
      </c>
    </row>
    <row r="20" spans="1:4" ht="30" customHeight="1" x14ac:dyDescent="0.3">
      <c r="A20" s="8" t="s">
        <v>110</v>
      </c>
      <c r="B20" s="9" t="s">
        <v>111</v>
      </c>
      <c r="C20" s="10" t="s">
        <v>112</v>
      </c>
      <c r="D20" s="11" t="s">
        <v>113</v>
      </c>
    </row>
    <row r="21" spans="1:4" ht="30" customHeight="1" x14ac:dyDescent="0.3">
      <c r="A21" s="8" t="s">
        <v>114</v>
      </c>
      <c r="B21" s="9" t="s">
        <v>111</v>
      </c>
      <c r="C21" s="10" t="s">
        <v>115</v>
      </c>
      <c r="D21" s="11" t="s">
        <v>116</v>
      </c>
    </row>
    <row r="22" spans="1:4" ht="30" customHeight="1" x14ac:dyDescent="0.3">
      <c r="A22" s="8" t="s">
        <v>117</v>
      </c>
      <c r="B22" s="9" t="s">
        <v>118</v>
      </c>
      <c r="C22" s="10" t="s">
        <v>119</v>
      </c>
      <c r="D22" s="11" t="s">
        <v>113</v>
      </c>
    </row>
    <row r="23" spans="1:4" ht="30" customHeight="1" x14ac:dyDescent="0.3">
      <c r="A23" s="8" t="s">
        <v>120</v>
      </c>
      <c r="B23" s="9" t="s">
        <v>94</v>
      </c>
      <c r="C23" s="10" t="s">
        <v>121</v>
      </c>
      <c r="D23" s="11" t="s">
        <v>122</v>
      </c>
    </row>
    <row r="25" spans="1:4" x14ac:dyDescent="0.3">
      <c r="A25" s="4" t="s">
        <v>123</v>
      </c>
    </row>
    <row r="26" spans="1:4" x14ac:dyDescent="0.3">
      <c r="A26" s="7" t="s">
        <v>124</v>
      </c>
      <c r="B26" s="7" t="s">
        <v>125</v>
      </c>
      <c r="C26" s="7" t="s">
        <v>126</v>
      </c>
    </row>
    <row r="27" spans="1:4" ht="34.049999999999997" customHeight="1" x14ac:dyDescent="0.3">
      <c r="A27" s="8" t="s">
        <v>127</v>
      </c>
      <c r="B27" s="10" t="s">
        <v>128</v>
      </c>
      <c r="C27" s="10" t="s">
        <v>129</v>
      </c>
    </row>
    <row r="28" spans="1:4" ht="34.049999999999997" customHeight="1" x14ac:dyDescent="0.3">
      <c r="A28" s="8" t="s">
        <v>130</v>
      </c>
      <c r="B28" s="10" t="s">
        <v>131</v>
      </c>
      <c r="C28" s="10" t="s">
        <v>132</v>
      </c>
    </row>
    <row r="29" spans="1:4" ht="34.049999999999997" customHeight="1" x14ac:dyDescent="0.3">
      <c r="A29" s="8" t="s">
        <v>133</v>
      </c>
      <c r="B29" s="10" t="s">
        <v>134</v>
      </c>
      <c r="C29" s="10" t="s">
        <v>135</v>
      </c>
    </row>
    <row r="30" spans="1:4" ht="34.049999999999997" customHeight="1" x14ac:dyDescent="0.3">
      <c r="A30" s="8" t="s">
        <v>136</v>
      </c>
      <c r="B30" s="10" t="s">
        <v>137</v>
      </c>
      <c r="C30" s="10" t="s">
        <v>138</v>
      </c>
    </row>
    <row r="31" spans="1:4" ht="34.049999999999997" customHeight="1" x14ac:dyDescent="0.3">
      <c r="A31" s="8" t="s">
        <v>139</v>
      </c>
      <c r="B31" s="10" t="s">
        <v>140</v>
      </c>
      <c r="C31" s="10" t="s">
        <v>141</v>
      </c>
    </row>
    <row r="32" spans="1:4" ht="34.049999999999997" customHeight="1" x14ac:dyDescent="0.3">
      <c r="A32" s="8" t="s">
        <v>142</v>
      </c>
      <c r="B32" s="10" t="s">
        <v>143</v>
      </c>
      <c r="C32" s="10" t="s">
        <v>144</v>
      </c>
    </row>
    <row r="33" spans="1:3" ht="34.049999999999997" customHeight="1" x14ac:dyDescent="0.3">
      <c r="A33" s="8" t="s">
        <v>145</v>
      </c>
      <c r="B33" s="10" t="s">
        <v>146</v>
      </c>
      <c r="C33" s="10" t="s">
        <v>147</v>
      </c>
    </row>
  </sheetData>
  <mergeCells count="6">
    <mergeCell ref="B6:C6"/>
    <mergeCell ref="B7:C7"/>
    <mergeCell ref="B5:C5"/>
    <mergeCell ref="B10:C10"/>
    <mergeCell ref="B9:C9"/>
    <mergeCell ref="B8:C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7"/>
  <sheetViews>
    <sheetView showGridLines="0" workbookViewId="0"/>
  </sheetViews>
  <sheetFormatPr defaultRowHeight="14.4" x14ac:dyDescent="0.3"/>
  <cols>
    <col min="1" max="1" width="36" customWidth="1"/>
    <col min="2" max="3" width="14" customWidth="1"/>
    <col min="4" max="4" width="62" customWidth="1"/>
    <col min="5" max="7" width="14" customWidth="1"/>
  </cols>
  <sheetData>
    <row r="1" spans="1:7" ht="24" customHeight="1" x14ac:dyDescent="0.3">
      <c r="A1" s="1" t="s">
        <v>148</v>
      </c>
      <c r="B1" s="2"/>
      <c r="C1" s="2"/>
      <c r="D1" s="2"/>
      <c r="E1" s="2"/>
      <c r="F1" s="2"/>
      <c r="G1" s="2"/>
    </row>
    <row r="2" spans="1:7" x14ac:dyDescent="0.3">
      <c r="A2" s="12" t="s">
        <v>149</v>
      </c>
    </row>
    <row r="4" spans="1:7" x14ac:dyDescent="0.3">
      <c r="A4" s="7" t="s">
        <v>150</v>
      </c>
      <c r="B4" s="7" t="s">
        <v>151</v>
      </c>
      <c r="C4" s="7" t="s">
        <v>152</v>
      </c>
      <c r="D4" s="7" t="s">
        <v>153</v>
      </c>
    </row>
    <row r="5" spans="1:7" x14ac:dyDescent="0.3">
      <c r="A5" s="9" t="s">
        <v>154</v>
      </c>
      <c r="B5" s="13">
        <v>18.626000000000001</v>
      </c>
      <c r="C5" s="9" t="s">
        <v>155</v>
      </c>
      <c r="D5" s="14" t="s">
        <v>156</v>
      </c>
    </row>
    <row r="6" spans="1:7" x14ac:dyDescent="0.3">
      <c r="A6" s="9" t="s">
        <v>157</v>
      </c>
      <c r="B6" s="13">
        <v>17.035</v>
      </c>
      <c r="C6" s="9" t="s">
        <v>155</v>
      </c>
      <c r="D6" s="14" t="s">
        <v>156</v>
      </c>
    </row>
    <row r="7" spans="1:7" x14ac:dyDescent="0.3">
      <c r="A7" s="9" t="s">
        <v>158</v>
      </c>
      <c r="B7" s="13">
        <v>5.5294999999999997E-2</v>
      </c>
      <c r="C7" s="9" t="s">
        <v>159</v>
      </c>
      <c r="D7" s="14" t="s">
        <v>160</v>
      </c>
    </row>
    <row r="8" spans="1:7" x14ac:dyDescent="0.3">
      <c r="A8" s="9" t="s">
        <v>161</v>
      </c>
      <c r="B8" s="13">
        <v>3.0114999999999999E-2</v>
      </c>
      <c r="C8" s="9" t="s">
        <v>159</v>
      </c>
      <c r="D8" s="14" t="s">
        <v>160</v>
      </c>
    </row>
    <row r="9" spans="1:7" x14ac:dyDescent="0.3">
      <c r="A9" s="9" t="s">
        <v>162</v>
      </c>
      <c r="B9" s="13">
        <v>4.0965000000000003E-3</v>
      </c>
      <c r="C9" s="9" t="s">
        <v>159</v>
      </c>
      <c r="D9" s="14" t="s">
        <v>163</v>
      </c>
    </row>
    <row r="10" spans="1:7" x14ac:dyDescent="0.3">
      <c r="A10" s="9" t="s">
        <v>164</v>
      </c>
      <c r="B10" s="13">
        <v>4.885E-4</v>
      </c>
      <c r="C10" s="9" t="s">
        <v>159</v>
      </c>
      <c r="D10" s="14" t="s">
        <v>163</v>
      </c>
    </row>
    <row r="11" spans="1:7" x14ac:dyDescent="0.3">
      <c r="A11" s="9" t="s">
        <v>165</v>
      </c>
      <c r="B11" s="13">
        <v>9.5484999999999997E-3</v>
      </c>
      <c r="C11" s="9" t="s">
        <v>159</v>
      </c>
      <c r="D11" s="14" t="s">
        <v>166</v>
      </c>
    </row>
    <row r="12" spans="1:7" x14ac:dyDescent="0.3">
      <c r="A12" s="9" t="s">
        <v>167</v>
      </c>
      <c r="B12" s="13">
        <v>4.0590000000000001E-3</v>
      </c>
      <c r="C12" s="9" t="s">
        <v>159</v>
      </c>
      <c r="D12" s="14" t="s">
        <v>166</v>
      </c>
    </row>
    <row r="13" spans="1:7" x14ac:dyDescent="0.3">
      <c r="A13" s="9" t="s">
        <v>168</v>
      </c>
      <c r="B13" s="13">
        <v>94.6</v>
      </c>
      <c r="C13" s="9" t="s">
        <v>169</v>
      </c>
      <c r="D13" s="14" t="s">
        <v>170</v>
      </c>
    </row>
    <row r="14" spans="1:7" x14ac:dyDescent="0.3">
      <c r="A14" s="9" t="s">
        <v>171</v>
      </c>
      <c r="B14" s="13">
        <v>110</v>
      </c>
      <c r="C14" s="9" t="s">
        <v>169</v>
      </c>
      <c r="D14" s="14" t="s">
        <v>172</v>
      </c>
    </row>
    <row r="15" spans="1:7" x14ac:dyDescent="0.3">
      <c r="A15" s="9" t="s">
        <v>173</v>
      </c>
      <c r="B15" s="13">
        <v>1E-3</v>
      </c>
      <c r="C15" s="9" t="s">
        <v>174</v>
      </c>
      <c r="D15" s="14" t="s">
        <v>175</v>
      </c>
    </row>
    <row r="16" spans="1:7" x14ac:dyDescent="0.3">
      <c r="A16" s="9" t="s">
        <v>176</v>
      </c>
      <c r="B16" s="13">
        <v>1.5E-3</v>
      </c>
      <c r="C16" s="9" t="s">
        <v>177</v>
      </c>
      <c r="D16" s="14" t="s">
        <v>178</v>
      </c>
    </row>
    <row r="17" spans="1:4" x14ac:dyDescent="0.3">
      <c r="A17" s="9" t="s">
        <v>179</v>
      </c>
      <c r="B17" s="13">
        <v>0.14849999999999999</v>
      </c>
      <c r="C17" s="9" t="s">
        <v>180</v>
      </c>
      <c r="D17" s="14" t="s">
        <v>181</v>
      </c>
    </row>
    <row r="18" spans="1:4" x14ac:dyDescent="0.3">
      <c r="A18" s="9" t="s">
        <v>182</v>
      </c>
      <c r="B18" s="13">
        <v>0.19708000000000001</v>
      </c>
      <c r="C18" s="9" t="s">
        <v>183</v>
      </c>
      <c r="D18" s="14" t="s">
        <v>184</v>
      </c>
    </row>
    <row r="19" spans="1:4" x14ac:dyDescent="0.3">
      <c r="A19" s="9" t="s">
        <v>185</v>
      </c>
      <c r="B19" s="13">
        <v>8.0669999999999995E-3</v>
      </c>
      <c r="C19" s="9" t="s">
        <v>186</v>
      </c>
      <c r="D19" s="14" t="s">
        <v>187</v>
      </c>
    </row>
    <row r="20" spans="1:4" x14ac:dyDescent="0.3">
      <c r="A20" s="9" t="s">
        <v>188</v>
      </c>
      <c r="B20" s="13">
        <v>0.90500000000000003</v>
      </c>
      <c r="C20" s="9" t="s">
        <v>189</v>
      </c>
      <c r="D20" s="14" t="s">
        <v>190</v>
      </c>
    </row>
    <row r="21" spans="1:4" x14ac:dyDescent="0.3">
      <c r="A21" s="9" t="s">
        <v>191</v>
      </c>
      <c r="B21" s="13">
        <v>1.407</v>
      </c>
      <c r="C21" s="9" t="s">
        <v>192</v>
      </c>
      <c r="D21" s="14" t="s">
        <v>193</v>
      </c>
    </row>
    <row r="22" spans="1:4" x14ac:dyDescent="0.3">
      <c r="A22" s="9" t="s">
        <v>194</v>
      </c>
      <c r="B22" s="13">
        <v>1.204E-2</v>
      </c>
      <c r="C22" s="9" t="s">
        <v>195</v>
      </c>
      <c r="D22" s="14" t="s">
        <v>196</v>
      </c>
    </row>
    <row r="23" spans="1:4" x14ac:dyDescent="0.3">
      <c r="A23" s="9" t="s">
        <v>197</v>
      </c>
      <c r="B23" s="13">
        <v>1.65E-4</v>
      </c>
      <c r="C23" s="9" t="s">
        <v>198</v>
      </c>
      <c r="D23" s="14" t="s">
        <v>199</v>
      </c>
    </row>
    <row r="24" spans="1:4" x14ac:dyDescent="0.3">
      <c r="A24" s="9" t="s">
        <v>200</v>
      </c>
      <c r="B24" s="13">
        <v>0.85</v>
      </c>
      <c r="C24" s="9" t="s">
        <v>201</v>
      </c>
      <c r="D24" s="14" t="s">
        <v>202</v>
      </c>
    </row>
    <row r="25" spans="1:4" x14ac:dyDescent="0.3">
      <c r="A25" s="9" t="s">
        <v>203</v>
      </c>
      <c r="B25" s="13">
        <v>1.8079999999999999E-2</v>
      </c>
      <c r="C25" s="9" t="s">
        <v>204</v>
      </c>
      <c r="D25" s="14" t="s">
        <v>205</v>
      </c>
    </row>
    <row r="26" spans="1:4" x14ac:dyDescent="0.3">
      <c r="A26" s="9" t="s">
        <v>206</v>
      </c>
      <c r="B26" s="13">
        <v>2.1973000000000001E-4</v>
      </c>
      <c r="C26" s="9" t="s">
        <v>207</v>
      </c>
      <c r="D26" s="14" t="s">
        <v>208</v>
      </c>
    </row>
    <row r="27" spans="1:4" x14ac:dyDescent="0.3">
      <c r="A27" s="9" t="s">
        <v>209</v>
      </c>
      <c r="B27" s="13">
        <v>0.42</v>
      </c>
      <c r="C27" s="9" t="s">
        <v>210</v>
      </c>
      <c r="D27" s="14" t="s">
        <v>211</v>
      </c>
    </row>
    <row r="28" spans="1:4" x14ac:dyDescent="0.3">
      <c r="A28" s="9" t="s">
        <v>212</v>
      </c>
      <c r="B28" s="13">
        <v>1</v>
      </c>
      <c r="C28" s="9" t="s">
        <v>159</v>
      </c>
      <c r="D28" s="14" t="s">
        <v>213</v>
      </c>
    </row>
    <row r="30" spans="1:4" x14ac:dyDescent="0.3">
      <c r="A30" s="3" t="s">
        <v>214</v>
      </c>
    </row>
    <row r="31" spans="1:4" x14ac:dyDescent="0.3">
      <c r="A31" s="7" t="s">
        <v>215</v>
      </c>
      <c r="B31" s="7" t="s">
        <v>151</v>
      </c>
      <c r="C31" s="7" t="s">
        <v>152</v>
      </c>
      <c r="D31" s="7" t="s">
        <v>216</v>
      </c>
    </row>
    <row r="32" spans="1:4" x14ac:dyDescent="0.3">
      <c r="A32" s="5" t="s">
        <v>217</v>
      </c>
      <c r="B32" s="15">
        <f>n_pks/n_coal</f>
        <v>0.42509294653610519</v>
      </c>
      <c r="C32" s="5" t="s">
        <v>218</v>
      </c>
      <c r="D32" s="16" t="s">
        <v>219</v>
      </c>
    </row>
    <row r="33" spans="1:5" x14ac:dyDescent="0.3">
      <c r="A33" s="5" t="s">
        <v>220</v>
      </c>
      <c r="B33" s="15">
        <f>s_pks/s_coal</f>
        <v>0.11924813865494933</v>
      </c>
      <c r="C33" s="5" t="s">
        <v>218</v>
      </c>
      <c r="D33" s="16" t="s">
        <v>221</v>
      </c>
    </row>
    <row r="34" spans="1:5" x14ac:dyDescent="0.3">
      <c r="A34" s="5" t="s">
        <v>222</v>
      </c>
      <c r="B34" s="15">
        <f>ash_pks/ash_coal</f>
        <v>0.54462428791029938</v>
      </c>
      <c r="C34" s="5" t="s">
        <v>218</v>
      </c>
      <c r="D34" s="16" t="s">
        <v>223</v>
      </c>
    </row>
    <row r="36" spans="1:5" x14ac:dyDescent="0.3">
      <c r="A36" s="3" t="s">
        <v>224</v>
      </c>
    </row>
    <row r="37" spans="1:5" ht="22.8" x14ac:dyDescent="0.3">
      <c r="A37" s="3" t="s">
        <v>225</v>
      </c>
      <c r="B37" s="17">
        <v>1</v>
      </c>
      <c r="D37" s="18" t="s">
        <v>226</v>
      </c>
    </row>
    <row r="39" spans="1:5" ht="39.6" x14ac:dyDescent="0.3">
      <c r="A39" s="7" t="s">
        <v>227</v>
      </c>
      <c r="B39" s="7" t="s">
        <v>228</v>
      </c>
      <c r="C39" s="7" t="s">
        <v>229</v>
      </c>
      <c r="D39" s="7" t="s">
        <v>230</v>
      </c>
      <c r="E39" s="7" t="s">
        <v>231</v>
      </c>
    </row>
    <row r="40" spans="1:5" x14ac:dyDescent="0.3">
      <c r="A40" s="19">
        <v>1</v>
      </c>
      <c r="B40" s="5" t="s">
        <v>232</v>
      </c>
      <c r="C40" s="20">
        <v>0.79400000000000004</v>
      </c>
      <c r="D40" s="21">
        <v>1</v>
      </c>
      <c r="E40" s="16" t="s">
        <v>233</v>
      </c>
    </row>
    <row r="41" spans="1:5" x14ac:dyDescent="0.3">
      <c r="A41" s="19">
        <v>2</v>
      </c>
      <c r="B41" s="5" t="s">
        <v>234</v>
      </c>
      <c r="C41" s="20">
        <v>0.90200000000000002</v>
      </c>
      <c r="D41" s="21">
        <v>1.1200000000000001</v>
      </c>
      <c r="E41" s="16" t="s">
        <v>235</v>
      </c>
    </row>
    <row r="42" spans="1:5" x14ac:dyDescent="0.3">
      <c r="A42" s="19">
        <v>3</v>
      </c>
      <c r="B42" s="5" t="s">
        <v>236</v>
      </c>
      <c r="C42" s="20">
        <v>0.86099999999999999</v>
      </c>
      <c r="D42" s="21">
        <v>1.07</v>
      </c>
      <c r="E42" s="16" t="s">
        <v>237</v>
      </c>
    </row>
    <row r="43" spans="1:5" x14ac:dyDescent="0.3">
      <c r="A43" s="19">
        <v>4</v>
      </c>
      <c r="B43" s="5" t="s">
        <v>238</v>
      </c>
      <c r="C43" s="20">
        <v>0.41199999999999998</v>
      </c>
      <c r="D43" s="21">
        <v>0.55000000000000004</v>
      </c>
      <c r="E43" s="16" t="s">
        <v>239</v>
      </c>
    </row>
    <row r="45" spans="1:5" x14ac:dyDescent="0.3">
      <c r="A45" s="3" t="s">
        <v>240</v>
      </c>
      <c r="B45" s="22">
        <f>INDEX($C$40:$C$43,elec_mode)</f>
        <v>0.79400000000000004</v>
      </c>
    </row>
    <row r="46" spans="1:5" x14ac:dyDescent="0.3">
      <c r="A46" s="3" t="s">
        <v>241</v>
      </c>
      <c r="B46" s="23">
        <f>INDEX($D$40:$D$43,elec_mode)</f>
        <v>1</v>
      </c>
    </row>
    <row r="47" spans="1:5" x14ac:dyDescent="0.3">
      <c r="A47" s="3" t="s">
        <v>242</v>
      </c>
      <c r="B47" s="5" t="str">
        <f>INDEX($B$40:$B$43,elec_mode)</f>
        <v>Attributional grid average, time of use 2025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6"/>
  <sheetViews>
    <sheetView showGridLines="0" workbookViewId="0"/>
  </sheetViews>
  <sheetFormatPr defaultRowHeight="14.4" x14ac:dyDescent="0.3"/>
  <cols>
    <col min="1" max="1" width="34" customWidth="1"/>
    <col min="2" max="2" width="12" customWidth="1"/>
    <col min="3" max="7" width="14" customWidth="1"/>
    <col min="8" max="9" width="12" customWidth="1"/>
    <col min="10" max="10" width="46" customWidth="1"/>
  </cols>
  <sheetData>
    <row r="1" spans="1:10" ht="24" customHeight="1" x14ac:dyDescent="0.3">
      <c r="A1" s="1" t="s">
        <v>243</v>
      </c>
      <c r="B1" s="2"/>
      <c r="C1" s="2"/>
      <c r="D1" s="2"/>
      <c r="E1" s="2"/>
      <c r="F1" s="2"/>
      <c r="G1" s="2"/>
      <c r="H1" s="2"/>
      <c r="I1" s="2"/>
      <c r="J1" s="2"/>
    </row>
    <row r="2" spans="1:10" x14ac:dyDescent="0.3">
      <c r="A2" s="24" t="s">
        <v>244</v>
      </c>
    </row>
    <row r="4" spans="1:10" ht="39.6" x14ac:dyDescent="0.3">
      <c r="A4" s="7" t="s">
        <v>245</v>
      </c>
      <c r="B4" s="7" t="s">
        <v>152</v>
      </c>
      <c r="C4" s="7" t="s">
        <v>246</v>
      </c>
      <c r="D4" s="7" t="s">
        <v>247</v>
      </c>
      <c r="E4" s="7" t="s">
        <v>248</v>
      </c>
      <c r="F4" s="7" t="s">
        <v>249</v>
      </c>
      <c r="G4" s="7" t="s">
        <v>250</v>
      </c>
      <c r="H4" s="7" t="s">
        <v>251</v>
      </c>
      <c r="I4" s="7" t="s">
        <v>252</v>
      </c>
      <c r="J4" s="7" t="s">
        <v>253</v>
      </c>
    </row>
    <row r="5" spans="1:10" x14ac:dyDescent="0.3">
      <c r="A5" s="9" t="s">
        <v>254</v>
      </c>
      <c r="B5" s="9" t="s">
        <v>255</v>
      </c>
      <c r="C5" s="25">
        <v>4.2999999999999997E-2</v>
      </c>
      <c r="D5" s="25">
        <v>3.1E-4</v>
      </c>
      <c r="E5" s="25">
        <v>1.8000000000000001E-4</v>
      </c>
      <c r="F5" s="25">
        <v>5.9999999999999995E-4</v>
      </c>
      <c r="G5" s="25">
        <v>1.2E-4</v>
      </c>
      <c r="H5" s="26">
        <v>0</v>
      </c>
      <c r="I5" s="26">
        <v>0</v>
      </c>
      <c r="J5" s="27" t="s">
        <v>256</v>
      </c>
    </row>
    <row r="6" spans="1:10" x14ac:dyDescent="0.3">
      <c r="A6" s="9" t="s">
        <v>257</v>
      </c>
      <c r="B6" s="9" t="s">
        <v>258</v>
      </c>
      <c r="C6" s="25">
        <v>4.1999999999999997E-3</v>
      </c>
      <c r="D6" s="25">
        <v>9.0000000000000006E-5</v>
      </c>
      <c r="E6" s="25">
        <v>2.1000000000000001E-4</v>
      </c>
      <c r="F6" s="25">
        <v>2.0000000000000001E-4</v>
      </c>
      <c r="G6" s="25">
        <v>3.0000000000000001E-5</v>
      </c>
      <c r="H6" s="26">
        <v>0</v>
      </c>
      <c r="I6" s="26">
        <v>0</v>
      </c>
      <c r="J6" s="27" t="s">
        <v>259</v>
      </c>
    </row>
    <row r="7" spans="1:10" x14ac:dyDescent="0.3">
      <c r="A7" s="9" t="s">
        <v>260</v>
      </c>
      <c r="B7" s="9" t="s">
        <v>261</v>
      </c>
      <c r="C7" s="28">
        <f>elec_gwp</f>
        <v>0.79400000000000004</v>
      </c>
      <c r="D7" s="26">
        <f>0.0021*elec_scale</f>
        <v>2.0999999999999999E-3</v>
      </c>
      <c r="E7" s="26">
        <f>0.0013*elec_scale</f>
        <v>1.2999999999999999E-3</v>
      </c>
      <c r="F7" s="26">
        <f>0.0042*elec_scale</f>
        <v>4.1999999999999997E-3</v>
      </c>
      <c r="G7" s="26">
        <f>0.00072*elec_scale</f>
        <v>7.2000000000000005E-4</v>
      </c>
      <c r="H7" s="26">
        <v>0</v>
      </c>
      <c r="I7" s="26">
        <v>0</v>
      </c>
      <c r="J7" s="27" t="s">
        <v>262</v>
      </c>
    </row>
    <row r="8" spans="1:10" x14ac:dyDescent="0.3">
      <c r="A8" s="9" t="s">
        <v>263</v>
      </c>
      <c r="B8" s="9" t="s">
        <v>264</v>
      </c>
      <c r="C8" s="25">
        <v>0.152</v>
      </c>
      <c r="D8" s="25">
        <v>8.8000000000000003E-4</v>
      </c>
      <c r="E8" s="25">
        <v>5.5000000000000003E-4</v>
      </c>
      <c r="F8" s="25">
        <v>1.8E-3</v>
      </c>
      <c r="G8" s="25">
        <v>2.7999999999999998E-4</v>
      </c>
      <c r="H8" s="26">
        <v>0</v>
      </c>
      <c r="I8" s="26">
        <v>0</v>
      </c>
      <c r="J8" s="27" t="s">
        <v>265</v>
      </c>
    </row>
    <row r="9" spans="1:10" x14ac:dyDescent="0.3">
      <c r="A9" s="9" t="s">
        <v>266</v>
      </c>
      <c r="B9" s="9" t="s">
        <v>264</v>
      </c>
      <c r="C9" s="25">
        <v>4.8000000000000001E-2</v>
      </c>
      <c r="D9" s="25">
        <v>4.2000000000000002E-4</v>
      </c>
      <c r="E9" s="25">
        <v>5.9999999999999995E-4</v>
      </c>
      <c r="F9" s="25">
        <v>8.9999999999999998E-4</v>
      </c>
      <c r="G9" s="25">
        <v>9.0000000000000006E-5</v>
      </c>
      <c r="H9" s="26">
        <v>0</v>
      </c>
      <c r="I9" s="26">
        <v>0</v>
      </c>
      <c r="J9" s="27" t="s">
        <v>267</v>
      </c>
    </row>
    <row r="10" spans="1:10" x14ac:dyDescent="0.3">
      <c r="A10" s="9" t="s">
        <v>268</v>
      </c>
      <c r="B10" s="9" t="s">
        <v>261</v>
      </c>
      <c r="C10" s="28">
        <f>elec_gwp</f>
        <v>0.79400000000000004</v>
      </c>
      <c r="D10" s="26">
        <f>0.0021*elec_scale</f>
        <v>2.0999999999999999E-3</v>
      </c>
      <c r="E10" s="26">
        <f>0.0013*elec_scale</f>
        <v>1.2999999999999999E-3</v>
      </c>
      <c r="F10" s="26">
        <f>0.0042*elec_scale</f>
        <v>4.1999999999999997E-3</v>
      </c>
      <c r="G10" s="26">
        <f>0.00072*elec_scale</f>
        <v>7.2000000000000005E-4</v>
      </c>
      <c r="H10" s="26">
        <v>0</v>
      </c>
      <c r="I10" s="26">
        <v>0</v>
      </c>
      <c r="J10" s="27" t="s">
        <v>262</v>
      </c>
    </row>
    <row r="11" spans="1:10" x14ac:dyDescent="0.3">
      <c r="A11" s="9" t="s">
        <v>269</v>
      </c>
      <c r="B11" s="9" t="s">
        <v>255</v>
      </c>
      <c r="C11" s="25">
        <v>0.121</v>
      </c>
      <c r="D11" s="25">
        <v>9.7999999999999997E-4</v>
      </c>
      <c r="E11" s="25">
        <v>4.2000000000000002E-4</v>
      </c>
      <c r="F11" s="25">
        <v>2.0999999999999999E-3</v>
      </c>
      <c r="G11" s="25">
        <v>3.1E-4</v>
      </c>
      <c r="H11" s="26">
        <v>0</v>
      </c>
      <c r="I11" s="26">
        <v>0</v>
      </c>
      <c r="J11" s="27" t="s">
        <v>270</v>
      </c>
    </row>
    <row r="12" spans="1:10" x14ac:dyDescent="0.3">
      <c r="A12" s="9" t="s">
        <v>271</v>
      </c>
      <c r="B12" s="9" t="s">
        <v>255</v>
      </c>
      <c r="C12" s="25">
        <v>9.8000000000000004E-2</v>
      </c>
      <c r="D12" s="25">
        <v>2.1000000000000001E-4</v>
      </c>
      <c r="E12" s="25">
        <v>1.1E-4</v>
      </c>
      <c r="F12" s="25">
        <v>4.0000000000000002E-4</v>
      </c>
      <c r="G12" s="25">
        <v>5.0000000000000002E-5</v>
      </c>
      <c r="H12" s="26">
        <v>0</v>
      </c>
      <c r="I12" s="26">
        <v>0</v>
      </c>
      <c r="J12" s="27" t="s">
        <v>272</v>
      </c>
    </row>
    <row r="13" spans="1:10" x14ac:dyDescent="0.3">
      <c r="A13" s="9" t="s">
        <v>197</v>
      </c>
      <c r="B13" s="9" t="s">
        <v>273</v>
      </c>
      <c r="C13" s="25">
        <v>0.34</v>
      </c>
      <c r="D13" s="25">
        <v>4.2000000000000002E-4</v>
      </c>
      <c r="E13" s="25">
        <v>2.1000000000000001E-4</v>
      </c>
      <c r="F13" s="25">
        <v>5.9999999999999995E-4</v>
      </c>
      <c r="G13" s="25">
        <v>8.0000000000000007E-5</v>
      </c>
      <c r="H13" s="26">
        <v>0</v>
      </c>
      <c r="I13" s="26">
        <v>0</v>
      </c>
      <c r="J13" s="27" t="s">
        <v>274</v>
      </c>
    </row>
    <row r="14" spans="1:10" x14ac:dyDescent="0.3">
      <c r="A14" s="9" t="s">
        <v>275</v>
      </c>
      <c r="B14" s="9" t="s">
        <v>255</v>
      </c>
      <c r="C14" s="25">
        <v>7.9000000000000008E-3</v>
      </c>
      <c r="D14" s="25">
        <v>3.0000000000000001E-5</v>
      </c>
      <c r="E14" s="25">
        <v>2.0000000000000002E-5</v>
      </c>
      <c r="F14" s="25">
        <v>5.0000000000000002E-5</v>
      </c>
      <c r="G14" s="25">
        <v>1.0000000000000001E-5</v>
      </c>
      <c r="H14" s="26">
        <v>0</v>
      </c>
      <c r="I14" s="26">
        <v>0</v>
      </c>
      <c r="J14" s="27" t="s">
        <v>276</v>
      </c>
    </row>
    <row r="16" spans="1:10" x14ac:dyDescent="0.3">
      <c r="A16" s="12" t="s">
        <v>277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5"/>
  <sheetViews>
    <sheetView showGridLines="0" workbookViewId="0"/>
  </sheetViews>
  <sheetFormatPr defaultRowHeight="14.4" x14ac:dyDescent="0.3"/>
  <cols>
    <col min="1" max="1" width="40" customWidth="1"/>
    <col min="2" max="3" width="12" customWidth="1"/>
    <col min="4" max="10" width="13" customWidth="1"/>
    <col min="11" max="11" width="44" customWidth="1"/>
  </cols>
  <sheetData>
    <row r="1" spans="1:11" ht="24" customHeight="1" x14ac:dyDescent="0.3">
      <c r="A1" s="1" t="s">
        <v>278</v>
      </c>
      <c r="B1" s="2"/>
      <c r="C1" s="2"/>
      <c r="D1" s="2"/>
      <c r="E1" s="2"/>
      <c r="F1" s="2"/>
      <c r="G1" s="2"/>
      <c r="H1" s="2"/>
      <c r="I1" s="2"/>
      <c r="J1" s="2"/>
    </row>
    <row r="4" spans="1:11" ht="39.6" x14ac:dyDescent="0.3">
      <c r="A4" s="7" t="s">
        <v>279</v>
      </c>
      <c r="B4" s="7" t="s">
        <v>280</v>
      </c>
      <c r="C4" s="7" t="s">
        <v>152</v>
      </c>
      <c r="D4" s="7" t="s">
        <v>246</v>
      </c>
      <c r="E4" s="7" t="s">
        <v>247</v>
      </c>
      <c r="F4" s="7" t="s">
        <v>248</v>
      </c>
      <c r="G4" s="7" t="s">
        <v>249</v>
      </c>
      <c r="H4" s="7" t="s">
        <v>250</v>
      </c>
      <c r="I4" s="7" t="s">
        <v>251</v>
      </c>
      <c r="J4" s="7" t="s">
        <v>281</v>
      </c>
    </row>
    <row r="5" spans="1:11" x14ac:dyDescent="0.3">
      <c r="A5" s="9" t="s">
        <v>282</v>
      </c>
      <c r="B5" s="9" t="s">
        <v>283</v>
      </c>
      <c r="C5" s="9" t="s">
        <v>284</v>
      </c>
      <c r="D5" s="29">
        <v>0</v>
      </c>
      <c r="E5" s="29">
        <v>0</v>
      </c>
      <c r="F5" s="29">
        <v>0</v>
      </c>
      <c r="G5" s="29">
        <v>0</v>
      </c>
      <c r="H5" s="29">
        <v>0</v>
      </c>
      <c r="I5" s="29">
        <v>1</v>
      </c>
      <c r="J5" s="29">
        <v>0</v>
      </c>
      <c r="K5" s="27" t="s">
        <v>285</v>
      </c>
    </row>
    <row r="6" spans="1:11" x14ac:dyDescent="0.3">
      <c r="A6" s="9" t="s">
        <v>286</v>
      </c>
      <c r="B6" s="9" t="s">
        <v>287</v>
      </c>
      <c r="C6" s="9" t="s">
        <v>255</v>
      </c>
      <c r="D6" s="29">
        <v>27</v>
      </c>
      <c r="E6" s="29">
        <v>0</v>
      </c>
      <c r="F6" s="29">
        <v>0</v>
      </c>
      <c r="G6" s="29">
        <v>0</v>
      </c>
      <c r="H6" s="29">
        <v>0</v>
      </c>
      <c r="I6" s="29">
        <v>0</v>
      </c>
      <c r="J6" s="29">
        <v>0</v>
      </c>
      <c r="K6" s="27" t="s">
        <v>288</v>
      </c>
    </row>
    <row r="7" spans="1:11" x14ac:dyDescent="0.3">
      <c r="A7" s="9" t="s">
        <v>197</v>
      </c>
      <c r="B7" s="9" t="s">
        <v>283</v>
      </c>
      <c r="C7" s="9" t="s">
        <v>273</v>
      </c>
      <c r="D7" s="29">
        <v>0</v>
      </c>
      <c r="E7" s="29">
        <v>0</v>
      </c>
      <c r="F7" s="29">
        <v>0</v>
      </c>
      <c r="G7" s="29">
        <v>0</v>
      </c>
      <c r="H7" s="29">
        <v>0</v>
      </c>
      <c r="I7" s="29">
        <v>0</v>
      </c>
      <c r="J7" s="29">
        <v>1</v>
      </c>
      <c r="K7" s="27" t="s">
        <v>289</v>
      </c>
    </row>
    <row r="8" spans="1:11" x14ac:dyDescent="0.3">
      <c r="A8" s="9" t="s">
        <v>290</v>
      </c>
      <c r="B8" s="9" t="s">
        <v>287</v>
      </c>
      <c r="C8" s="9" t="s">
        <v>255</v>
      </c>
      <c r="D8" s="29">
        <v>1</v>
      </c>
      <c r="E8" s="29">
        <v>0</v>
      </c>
      <c r="F8" s="29">
        <v>0</v>
      </c>
      <c r="G8" s="29">
        <v>0</v>
      </c>
      <c r="H8" s="29">
        <v>0</v>
      </c>
      <c r="I8" s="29">
        <v>0</v>
      </c>
      <c r="J8" s="29">
        <v>0</v>
      </c>
      <c r="K8" s="27" t="s">
        <v>291</v>
      </c>
    </row>
    <row r="9" spans="1:11" x14ac:dyDescent="0.3">
      <c r="A9" s="9" t="s">
        <v>292</v>
      </c>
      <c r="B9" s="9" t="s">
        <v>287</v>
      </c>
      <c r="C9" s="9" t="s">
        <v>255</v>
      </c>
      <c r="D9" s="29">
        <v>0</v>
      </c>
      <c r="E9" s="29">
        <v>0</v>
      </c>
      <c r="F9" s="29">
        <v>0</v>
      </c>
      <c r="G9" s="29">
        <v>0</v>
      </c>
      <c r="H9" s="29">
        <v>0</v>
      </c>
      <c r="I9" s="29">
        <v>0</v>
      </c>
      <c r="J9" s="29">
        <v>0</v>
      </c>
      <c r="K9" s="27" t="s">
        <v>293</v>
      </c>
    </row>
    <row r="10" spans="1:11" x14ac:dyDescent="0.3">
      <c r="A10" s="9" t="s">
        <v>294</v>
      </c>
      <c r="B10" s="9" t="s">
        <v>287</v>
      </c>
      <c r="C10" s="9" t="s">
        <v>255</v>
      </c>
      <c r="D10" s="29">
        <v>29.8</v>
      </c>
      <c r="E10" s="29">
        <v>0</v>
      </c>
      <c r="F10" s="29">
        <v>0</v>
      </c>
      <c r="G10" s="29">
        <v>0</v>
      </c>
      <c r="H10" s="29">
        <v>0</v>
      </c>
      <c r="I10" s="29">
        <v>0</v>
      </c>
      <c r="J10" s="29">
        <v>0</v>
      </c>
      <c r="K10" s="27" t="s">
        <v>295</v>
      </c>
    </row>
    <row r="11" spans="1:11" x14ac:dyDescent="0.3">
      <c r="A11" s="9" t="s">
        <v>296</v>
      </c>
      <c r="B11" s="9" t="s">
        <v>287</v>
      </c>
      <c r="C11" s="9" t="s">
        <v>255</v>
      </c>
      <c r="D11" s="29">
        <v>27</v>
      </c>
      <c r="E11" s="29">
        <v>0</v>
      </c>
      <c r="F11" s="29">
        <v>0</v>
      </c>
      <c r="G11" s="29">
        <v>0</v>
      </c>
      <c r="H11" s="29">
        <v>0</v>
      </c>
      <c r="I11" s="29">
        <v>0</v>
      </c>
      <c r="J11" s="29">
        <v>0</v>
      </c>
      <c r="K11" s="27" t="s">
        <v>297</v>
      </c>
    </row>
    <row r="12" spans="1:11" x14ac:dyDescent="0.3">
      <c r="A12" s="9" t="s">
        <v>298</v>
      </c>
      <c r="B12" s="9" t="s">
        <v>287</v>
      </c>
      <c r="C12" s="9" t="s">
        <v>255</v>
      </c>
      <c r="D12" s="29">
        <v>273</v>
      </c>
      <c r="E12" s="29">
        <v>0</v>
      </c>
      <c r="F12" s="29">
        <v>0</v>
      </c>
      <c r="G12" s="29">
        <v>0</v>
      </c>
      <c r="H12" s="29">
        <v>0</v>
      </c>
      <c r="I12" s="29">
        <v>0</v>
      </c>
      <c r="J12" s="29">
        <v>0</v>
      </c>
      <c r="K12" s="27" t="s">
        <v>299</v>
      </c>
    </row>
    <row r="13" spans="1:11" x14ac:dyDescent="0.3">
      <c r="A13" s="9" t="s">
        <v>300</v>
      </c>
      <c r="B13" s="9" t="s">
        <v>287</v>
      </c>
      <c r="C13" s="9" t="s">
        <v>255</v>
      </c>
      <c r="D13" s="29">
        <v>0</v>
      </c>
      <c r="E13" s="29">
        <v>0.36</v>
      </c>
      <c r="F13" s="29">
        <v>1</v>
      </c>
      <c r="G13" s="29">
        <v>0.11</v>
      </c>
      <c r="H13" s="29">
        <v>0</v>
      </c>
      <c r="I13" s="29">
        <v>0</v>
      </c>
      <c r="J13" s="29">
        <v>0</v>
      </c>
      <c r="K13" s="27" t="s">
        <v>301</v>
      </c>
    </row>
    <row r="14" spans="1:11" x14ac:dyDescent="0.3">
      <c r="A14" s="9" t="s">
        <v>302</v>
      </c>
      <c r="B14" s="9" t="s">
        <v>287</v>
      </c>
      <c r="C14" s="9" t="s">
        <v>255</v>
      </c>
      <c r="D14" s="29">
        <v>0</v>
      </c>
      <c r="E14" s="29">
        <v>1</v>
      </c>
      <c r="F14" s="29">
        <v>0</v>
      </c>
      <c r="G14" s="29">
        <v>0.28999999999999998</v>
      </c>
      <c r="H14" s="29">
        <v>0</v>
      </c>
      <c r="I14" s="29">
        <v>0</v>
      </c>
      <c r="J14" s="29">
        <v>0</v>
      </c>
      <c r="K14" s="27" t="s">
        <v>303</v>
      </c>
    </row>
    <row r="15" spans="1:11" x14ac:dyDescent="0.3">
      <c r="A15" s="9" t="s">
        <v>304</v>
      </c>
      <c r="B15" s="9" t="s">
        <v>287</v>
      </c>
      <c r="C15" s="9" t="s">
        <v>255</v>
      </c>
      <c r="D15" s="29">
        <v>0</v>
      </c>
      <c r="E15" s="29">
        <v>0</v>
      </c>
      <c r="F15" s="29">
        <v>0</v>
      </c>
      <c r="G15" s="29">
        <v>1</v>
      </c>
      <c r="H15" s="29">
        <v>0</v>
      </c>
      <c r="I15" s="29">
        <v>0</v>
      </c>
      <c r="J15" s="29">
        <v>0</v>
      </c>
      <c r="K15" s="27" t="s">
        <v>305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9"/>
  <sheetViews>
    <sheetView showGridLines="0" workbookViewId="0"/>
  </sheetViews>
  <sheetFormatPr defaultRowHeight="14.4" x14ac:dyDescent="0.3"/>
  <cols>
    <col min="1" max="1" width="42" customWidth="1"/>
    <col min="2" max="2" width="12" customWidth="1"/>
    <col min="3" max="6" width="15" customWidth="1"/>
    <col min="7" max="7" width="17" customWidth="1"/>
    <col min="8" max="8" width="44" customWidth="1"/>
  </cols>
  <sheetData>
    <row r="1" spans="1:8" ht="24" customHeight="1" x14ac:dyDescent="0.3">
      <c r="A1" s="1" t="s">
        <v>306</v>
      </c>
      <c r="B1" s="2"/>
      <c r="C1" s="2"/>
      <c r="D1" s="2"/>
      <c r="E1" s="2"/>
      <c r="F1" s="2"/>
      <c r="G1" s="2"/>
      <c r="H1" s="2"/>
    </row>
    <row r="2" spans="1:8" x14ac:dyDescent="0.3">
      <c r="A2" s="24" t="s">
        <v>307</v>
      </c>
    </row>
    <row r="4" spans="1:8" x14ac:dyDescent="0.3">
      <c r="A4" s="3" t="s">
        <v>308</v>
      </c>
    </row>
    <row r="5" spans="1:8" ht="26.4" x14ac:dyDescent="0.3">
      <c r="A5" s="7" t="s">
        <v>309</v>
      </c>
      <c r="B5" s="7" t="s">
        <v>152</v>
      </c>
      <c r="C5" s="7" t="s">
        <v>310</v>
      </c>
      <c r="D5" s="7" t="s">
        <v>311</v>
      </c>
      <c r="E5" s="7" t="s">
        <v>312</v>
      </c>
      <c r="F5" s="7" t="s">
        <v>313</v>
      </c>
      <c r="G5" s="7" t="s">
        <v>314</v>
      </c>
    </row>
    <row r="6" spans="1:8" ht="34.200000000000003" x14ac:dyDescent="0.3">
      <c r="A6" s="3" t="s">
        <v>315</v>
      </c>
      <c r="B6" s="5" t="s">
        <v>316</v>
      </c>
      <c r="C6" s="30">
        <v>0</v>
      </c>
      <c r="D6" s="30">
        <v>5</v>
      </c>
      <c r="E6" s="30">
        <v>10</v>
      </c>
      <c r="F6" s="30">
        <v>20</v>
      </c>
      <c r="G6" s="30">
        <v>30</v>
      </c>
      <c r="H6" s="18" t="s">
        <v>317</v>
      </c>
    </row>
    <row r="7" spans="1:8" x14ac:dyDescent="0.3">
      <c r="A7" s="3" t="s">
        <v>318</v>
      </c>
      <c r="B7" s="5" t="s">
        <v>319</v>
      </c>
      <c r="C7" s="30">
        <v>100</v>
      </c>
      <c r="D7" s="30">
        <v>100</v>
      </c>
      <c r="E7" s="30">
        <v>100</v>
      </c>
      <c r="F7" s="30">
        <v>150</v>
      </c>
      <c r="G7" s="30">
        <v>60</v>
      </c>
    </row>
    <row r="8" spans="1:8" x14ac:dyDescent="0.3">
      <c r="A8" s="3" t="s">
        <v>320</v>
      </c>
      <c r="B8" s="5" t="s">
        <v>319</v>
      </c>
      <c r="C8" s="30">
        <v>0</v>
      </c>
      <c r="D8" s="30">
        <v>0</v>
      </c>
      <c r="E8" s="30">
        <v>0</v>
      </c>
      <c r="F8" s="30">
        <v>0</v>
      </c>
      <c r="G8" s="30">
        <v>350</v>
      </c>
    </row>
    <row r="9" spans="1:8" x14ac:dyDescent="0.3">
      <c r="A9" s="3" t="s">
        <v>321</v>
      </c>
      <c r="B9" s="5" t="s">
        <v>316</v>
      </c>
      <c r="C9" s="30">
        <v>33</v>
      </c>
      <c r="D9" s="30">
        <v>32.700000000000003</v>
      </c>
      <c r="E9" s="30">
        <v>32.299999999999997</v>
      </c>
      <c r="F9" s="30">
        <v>31.7</v>
      </c>
      <c r="G9" s="30">
        <v>31</v>
      </c>
    </row>
    <row r="11" spans="1:8" x14ac:dyDescent="0.3">
      <c r="A11" s="3" t="s">
        <v>322</v>
      </c>
    </row>
    <row r="12" spans="1:8" ht="26.4" x14ac:dyDescent="0.3">
      <c r="A12" s="7" t="s">
        <v>309</v>
      </c>
      <c r="B12" s="7" t="s">
        <v>152</v>
      </c>
      <c r="C12" s="7" t="s">
        <v>310</v>
      </c>
      <c r="D12" s="7" t="s">
        <v>311</v>
      </c>
      <c r="E12" s="7" t="s">
        <v>312</v>
      </c>
      <c r="F12" s="7" t="s">
        <v>313</v>
      </c>
      <c r="G12" s="7" t="s">
        <v>314</v>
      </c>
    </row>
    <row r="13" spans="1:8" x14ac:dyDescent="0.3">
      <c r="A13" s="5" t="s">
        <v>323</v>
      </c>
      <c r="B13" s="5" t="s">
        <v>324</v>
      </c>
      <c r="C13" s="31">
        <f>3600/(C$9/100)</f>
        <v>10909.090909090908</v>
      </c>
      <c r="D13" s="31">
        <f>3600/(D$9/100)</f>
        <v>11009.174311926605</v>
      </c>
      <c r="E13" s="31">
        <f>3600/(E$9/100)</f>
        <v>11145.510835913314</v>
      </c>
      <c r="F13" s="31">
        <f>3600/(F$9/100)</f>
        <v>11356.466876971608</v>
      </c>
      <c r="G13" s="31">
        <f>3600/(G$9/100)</f>
        <v>11612.903225806451</v>
      </c>
    </row>
    <row r="14" spans="1:8" x14ac:dyDescent="0.3">
      <c r="A14" s="5" t="s">
        <v>325</v>
      </c>
      <c r="B14" s="5" t="s">
        <v>324</v>
      </c>
      <c r="C14" s="31">
        <f>C$13*(1-C$6/100)</f>
        <v>10909.090909090908</v>
      </c>
      <c r="D14" s="31">
        <f>D$13*(1-D$6/100)</f>
        <v>10458.715596330274</v>
      </c>
      <c r="E14" s="31">
        <f>E$13*(1-E$6/100)</f>
        <v>10030.959752321982</v>
      </c>
      <c r="F14" s="31">
        <f>F$13*(1-F$6/100)</f>
        <v>9085.1735015772865</v>
      </c>
      <c r="G14" s="31">
        <f>G$13*(1-G$6/100)</f>
        <v>8129.0322580645152</v>
      </c>
    </row>
    <row r="15" spans="1:8" x14ac:dyDescent="0.3">
      <c r="A15" s="5" t="s">
        <v>326</v>
      </c>
      <c r="B15" s="5" t="s">
        <v>324</v>
      </c>
      <c r="C15" s="31">
        <f>C$13*C$6/100</f>
        <v>0</v>
      </c>
      <c r="D15" s="31">
        <f>D$13*D$6/100</f>
        <v>550.45871559633019</v>
      </c>
      <c r="E15" s="31">
        <f>E$13*E$6/100</f>
        <v>1114.5510835913315</v>
      </c>
      <c r="F15" s="31">
        <f>F$13*F$6/100</f>
        <v>2271.2933753943216</v>
      </c>
      <c r="G15" s="31">
        <f>G$13*G$6/100</f>
        <v>3483.8709677419351</v>
      </c>
    </row>
    <row r="16" spans="1:8" x14ac:dyDescent="0.3">
      <c r="A16" s="5" t="s">
        <v>327</v>
      </c>
      <c r="B16" s="5" t="s">
        <v>328</v>
      </c>
      <c r="C16" s="31">
        <f>C$14/lhv_coal</f>
        <v>585.69155530392504</v>
      </c>
      <c r="D16" s="31">
        <f>D$14/lhv_coal</f>
        <v>561.51162870880887</v>
      </c>
      <c r="E16" s="31">
        <f>E$14/lhv_coal</f>
        <v>538.54610503178253</v>
      </c>
      <c r="F16" s="31">
        <f>F$14/lhv_coal</f>
        <v>487.76836151494075</v>
      </c>
      <c r="G16" s="31">
        <f>G$14/lhv_coal</f>
        <v>436.43467508131187</v>
      </c>
    </row>
    <row r="17" spans="1:8" x14ac:dyDescent="0.3">
      <c r="A17" s="5" t="s">
        <v>329</v>
      </c>
      <c r="B17" s="5" t="s">
        <v>328</v>
      </c>
      <c r="C17" s="31">
        <f>C$15/lhv_pks</f>
        <v>0</v>
      </c>
      <c r="D17" s="31">
        <f>D$15/lhv_pks</f>
        <v>32.313396865061939</v>
      </c>
      <c r="E17" s="31">
        <f>E$15/lhv_pks</f>
        <v>65.427125541023273</v>
      </c>
      <c r="F17" s="31">
        <f>F$15/lhv_pks</f>
        <v>133.33098769558683</v>
      </c>
      <c r="G17" s="31">
        <f>G$15/lhv_pks</f>
        <v>204.51253112661786</v>
      </c>
    </row>
    <row r="18" spans="1:8" x14ac:dyDescent="0.3">
      <c r="A18" s="5" t="s">
        <v>330</v>
      </c>
      <c r="B18" s="5" t="s">
        <v>328</v>
      </c>
      <c r="C18" s="31">
        <f>C$16+C$17</f>
        <v>585.69155530392504</v>
      </c>
      <c r="D18" s="31">
        <f>D$16+D$17</f>
        <v>593.82502557387079</v>
      </c>
      <c r="E18" s="31">
        <f>E$16+E$17</f>
        <v>603.97323057280585</v>
      </c>
      <c r="F18" s="31">
        <f>F$16+F$17</f>
        <v>621.09934921052763</v>
      </c>
      <c r="G18" s="31">
        <f>G$16+G$17</f>
        <v>640.94720620792975</v>
      </c>
    </row>
    <row r="19" spans="1:8" x14ac:dyDescent="0.3">
      <c r="A19" s="5" t="s">
        <v>331</v>
      </c>
      <c r="B19" s="5" t="s">
        <v>328</v>
      </c>
      <c r="C19" s="32">
        <f>C$16*s_coal+C$17*s_pks</f>
        <v>2.399285456302529</v>
      </c>
      <c r="D19" s="32">
        <f>D$16*s_coal+D$17*s_pks</f>
        <v>2.3160174813742187</v>
      </c>
      <c r="E19" s="32">
        <f>E$16*s_coal+E$17*s_pks</f>
        <v>2.2381152700894873</v>
      </c>
      <c r="F19" s="32">
        <f>F$16*s_coal+F$17*s_pks</f>
        <v>2.0632752804352492</v>
      </c>
      <c r="G19" s="32">
        <f>G$16*s_coal+G$17*s_pks</f>
        <v>1.8877590179259471</v>
      </c>
    </row>
    <row r="20" spans="1:8" x14ac:dyDescent="0.3">
      <c r="A20" s="5" t="s">
        <v>332</v>
      </c>
      <c r="B20" s="5" t="s">
        <v>328</v>
      </c>
      <c r="C20" s="32">
        <f>C$16*ash_coal+C$17*ash_pks</f>
        <v>32.385814550530533</v>
      </c>
      <c r="D20" s="32">
        <f>D$16*ash_coal+D$17*ash_pks</f>
        <v>32.021903456044924</v>
      </c>
      <c r="E20" s="32">
        <f>E$16*ash_coal+E$17*ash_pks</f>
        <v>31.749244763400331</v>
      </c>
      <c r="F20" s="32">
        <f>F$16*ash_coal+F$17*ash_pks</f>
        <v>30.986414244421244</v>
      </c>
      <c r="G20" s="32">
        <f>G$16*ash_coal+G$17*ash_pks</f>
        <v>30.291550233499237</v>
      </c>
    </row>
    <row r="22" spans="1:8" x14ac:dyDescent="0.3">
      <c r="A22" s="3" t="s">
        <v>333</v>
      </c>
    </row>
    <row r="23" spans="1:8" ht="26.4" x14ac:dyDescent="0.3">
      <c r="A23" s="7" t="s">
        <v>334</v>
      </c>
      <c r="B23" s="7" t="s">
        <v>152</v>
      </c>
      <c r="C23" s="7" t="s">
        <v>310</v>
      </c>
      <c r="D23" s="7" t="s">
        <v>311</v>
      </c>
      <c r="E23" s="7" t="s">
        <v>312</v>
      </c>
      <c r="F23" s="7" t="s">
        <v>313</v>
      </c>
      <c r="G23" s="7" t="s">
        <v>314</v>
      </c>
    </row>
    <row r="24" spans="1:8" x14ac:dyDescent="0.3">
      <c r="A24" s="5" t="s">
        <v>254</v>
      </c>
      <c r="B24" s="5" t="s">
        <v>255</v>
      </c>
      <c r="C24" s="32">
        <f>C$17*pks_upstream_ratio</f>
        <v>0</v>
      </c>
      <c r="D24" s="32">
        <f>D$17*pks_upstream_ratio</f>
        <v>32.313396865061939</v>
      </c>
      <c r="E24" s="32">
        <f>E$17*pks_upstream_ratio</f>
        <v>65.427125541023273</v>
      </c>
      <c r="F24" s="32">
        <f>F$17*pks_upstream_ratio</f>
        <v>133.33098769558683</v>
      </c>
      <c r="G24" s="32">
        <f>G$17*pks_upstream_ratio</f>
        <v>204.51253112661786</v>
      </c>
      <c r="H24" s="16" t="s">
        <v>93</v>
      </c>
    </row>
    <row r="25" spans="1:8" x14ac:dyDescent="0.3">
      <c r="A25" s="5" t="s">
        <v>257</v>
      </c>
      <c r="B25" s="5" t="s">
        <v>258</v>
      </c>
      <c r="C25" s="32">
        <f>C$17*dry_heat</f>
        <v>0</v>
      </c>
      <c r="D25" s="32">
        <f>D$17*dry_heat</f>
        <v>27.466387335302649</v>
      </c>
      <c r="E25" s="32">
        <f>E$17*dry_heat</f>
        <v>55.613056709869781</v>
      </c>
      <c r="F25" s="32">
        <f>F$17*dry_heat</f>
        <v>113.33133954124879</v>
      </c>
      <c r="G25" s="32">
        <f>G$17*dry_heat</f>
        <v>173.83565145762518</v>
      </c>
      <c r="H25" s="16" t="s">
        <v>97</v>
      </c>
    </row>
    <row r="26" spans="1:8" x14ac:dyDescent="0.3">
      <c r="A26" s="5" t="s">
        <v>335</v>
      </c>
      <c r="B26" s="5" t="s">
        <v>261</v>
      </c>
      <c r="C26" s="32">
        <f>C$17*crush_kwh</f>
        <v>0</v>
      </c>
      <c r="D26" s="32">
        <f>D$17*crush_kwh</f>
        <v>0.58422621532031982</v>
      </c>
      <c r="E26" s="32">
        <f>E$17*crush_kwh</f>
        <v>1.1829224297817007</v>
      </c>
      <c r="F26" s="32">
        <f>F$17*crush_kwh</f>
        <v>2.4106242575362096</v>
      </c>
      <c r="G26" s="32">
        <f>G$17*crush_kwh</f>
        <v>3.6975865627692506</v>
      </c>
      <c r="H26" s="16" t="s">
        <v>97</v>
      </c>
    </row>
    <row r="27" spans="1:8" x14ac:dyDescent="0.3">
      <c r="A27" s="5" t="s">
        <v>263</v>
      </c>
      <c r="B27" s="5" t="s">
        <v>264</v>
      </c>
      <c r="C27" s="32">
        <f>C$17/1000*C$7</f>
        <v>0</v>
      </c>
      <c r="D27" s="32">
        <f>D$17/1000*D$7</f>
        <v>3.2313396865061939</v>
      </c>
      <c r="E27" s="32">
        <f>E$17/1000*E$7</f>
        <v>6.5427125541023274</v>
      </c>
      <c r="F27" s="32">
        <f>F$17/1000*F$7</f>
        <v>19.999648154338022</v>
      </c>
      <c r="G27" s="32">
        <f>G$17/1000*G$7</f>
        <v>12.27075186759707</v>
      </c>
      <c r="H27" s="16" t="s">
        <v>99</v>
      </c>
    </row>
    <row r="28" spans="1:8" x14ac:dyDescent="0.3">
      <c r="A28" s="5" t="s">
        <v>266</v>
      </c>
      <c r="B28" s="5" t="s">
        <v>264</v>
      </c>
      <c r="C28" s="32">
        <f>C$17/1000*C$8</f>
        <v>0</v>
      </c>
      <c r="D28" s="32">
        <f>D$17/1000*D$8</f>
        <v>0</v>
      </c>
      <c r="E28" s="32">
        <f>E$17/1000*E$8</f>
        <v>0</v>
      </c>
      <c r="F28" s="32">
        <f>F$17/1000*F$8</f>
        <v>0</v>
      </c>
      <c r="G28" s="32">
        <f>G$17/1000*G$8</f>
        <v>71.579385894316246</v>
      </c>
      <c r="H28" s="16" t="s">
        <v>99</v>
      </c>
    </row>
    <row r="29" spans="1:8" x14ac:dyDescent="0.3">
      <c r="A29" s="5" t="s">
        <v>336</v>
      </c>
      <c r="B29" s="5" t="s">
        <v>261</v>
      </c>
      <c r="C29" s="32">
        <f>C$18*aux_kwh</f>
        <v>7.0517263258592573</v>
      </c>
      <c r="D29" s="32">
        <f>D$18*aux_kwh</f>
        <v>7.1496533079094045</v>
      </c>
      <c r="E29" s="32">
        <f>E$18*aux_kwh</f>
        <v>7.2718376960965827</v>
      </c>
      <c r="F29" s="32">
        <f>F$18*aux_kwh</f>
        <v>7.4780361644947533</v>
      </c>
      <c r="G29" s="32">
        <f>G$18*aux_kwh</f>
        <v>7.7170043627434746</v>
      </c>
      <c r="H29" s="16" t="s">
        <v>102</v>
      </c>
    </row>
    <row r="30" spans="1:8" x14ac:dyDescent="0.3">
      <c r="A30" s="5" t="s">
        <v>337</v>
      </c>
      <c r="B30" s="5" t="s">
        <v>255</v>
      </c>
      <c r="C30" s="32">
        <f>C$16</f>
        <v>585.69155530392504</v>
      </c>
      <c r="D30" s="32">
        <f>D$16</f>
        <v>561.51162870880887</v>
      </c>
      <c r="E30" s="32">
        <f>E$16</f>
        <v>538.54610503178253</v>
      </c>
      <c r="F30" s="32">
        <f>F$16</f>
        <v>487.76836151494075</v>
      </c>
      <c r="G30" s="32">
        <f>G$16</f>
        <v>436.43467508131187</v>
      </c>
      <c r="H30" s="16" t="s">
        <v>105</v>
      </c>
    </row>
    <row r="31" spans="1:8" x14ac:dyDescent="0.3">
      <c r="A31" s="5" t="s">
        <v>271</v>
      </c>
      <c r="B31" s="5" t="s">
        <v>255</v>
      </c>
      <c r="C31" s="32">
        <f>C$19*lime_per_S</f>
        <v>3.3757946370176581</v>
      </c>
      <c r="D31" s="32">
        <f>D$19*lime_per_S</f>
        <v>3.2586365962935258</v>
      </c>
      <c r="E31" s="32">
        <f>E$19*lime_per_S</f>
        <v>3.1490281850159088</v>
      </c>
      <c r="F31" s="32">
        <f>F$19*lime_per_S</f>
        <v>2.9030283195723956</v>
      </c>
      <c r="G31" s="32">
        <f>G$19*lime_per_S</f>
        <v>2.6560769382218075</v>
      </c>
      <c r="H31" s="16" t="s">
        <v>105</v>
      </c>
    </row>
    <row r="32" spans="1:8" x14ac:dyDescent="0.3">
      <c r="A32" s="5" t="s">
        <v>197</v>
      </c>
      <c r="B32" s="5" t="s">
        <v>273</v>
      </c>
      <c r="C32" s="32">
        <f>C$13*water_int</f>
        <v>1.7999999999999998</v>
      </c>
      <c r="D32" s="32">
        <f>D$13*water_int</f>
        <v>1.8165137614678897</v>
      </c>
      <c r="E32" s="32">
        <f>E$13*water_int</f>
        <v>1.8390092879256967</v>
      </c>
      <c r="F32" s="32">
        <f>F$13*water_int</f>
        <v>1.8738170347003154</v>
      </c>
      <c r="G32" s="32">
        <f>G$13*water_int</f>
        <v>1.9161290322580644</v>
      </c>
      <c r="H32" s="16" t="s">
        <v>105</v>
      </c>
    </row>
    <row r="33" spans="1:8" x14ac:dyDescent="0.3">
      <c r="A33" s="5" t="s">
        <v>275</v>
      </c>
      <c r="B33" s="5" t="s">
        <v>255</v>
      </c>
      <c r="C33" s="32">
        <f>C$20*ash_capture</f>
        <v>29.309162168230134</v>
      </c>
      <c r="D33" s="32">
        <f>D$20*ash_capture</f>
        <v>28.979822627720658</v>
      </c>
      <c r="E33" s="32">
        <f>E$20*ash_capture</f>
        <v>28.7330665108773</v>
      </c>
      <c r="F33" s="32">
        <f>F$20*ash_capture</f>
        <v>28.042704891201225</v>
      </c>
      <c r="G33" s="32">
        <f>G$20*ash_capture</f>
        <v>27.41385296131681</v>
      </c>
      <c r="H33" s="16" t="s">
        <v>107</v>
      </c>
    </row>
    <row r="35" spans="1:8" x14ac:dyDescent="0.3">
      <c r="A35" s="3" t="s">
        <v>338</v>
      </c>
    </row>
    <row r="36" spans="1:8" ht="26.4" x14ac:dyDescent="0.3">
      <c r="A36" s="7" t="s">
        <v>279</v>
      </c>
      <c r="B36" s="7" t="s">
        <v>152</v>
      </c>
      <c r="C36" s="7" t="s">
        <v>310</v>
      </c>
      <c r="D36" s="7" t="s">
        <v>311</v>
      </c>
      <c r="E36" s="7" t="s">
        <v>312</v>
      </c>
      <c r="F36" s="7" t="s">
        <v>313</v>
      </c>
      <c r="G36" s="7" t="s">
        <v>314</v>
      </c>
    </row>
    <row r="37" spans="1:8" x14ac:dyDescent="0.3">
      <c r="A37" s="5" t="s">
        <v>282</v>
      </c>
      <c r="B37" s="5" t="s">
        <v>284</v>
      </c>
      <c r="C37" s="33">
        <f>C$17*land_occ</f>
        <v>0</v>
      </c>
      <c r="D37" s="33">
        <f>D$17*land_occ</f>
        <v>13.571626683326015</v>
      </c>
      <c r="E37" s="33">
        <f>E$17*land_occ</f>
        <v>27.479392727229772</v>
      </c>
      <c r="F37" s="33">
        <f>F$17*land_occ</f>
        <v>55.999014832146464</v>
      </c>
      <c r="G37" s="33">
        <f>G$17*land_occ</f>
        <v>85.895263073179493</v>
      </c>
      <c r="H37" s="16" t="s">
        <v>93</v>
      </c>
    </row>
    <row r="38" spans="1:8" x14ac:dyDescent="0.3">
      <c r="A38" s="5" t="s">
        <v>286</v>
      </c>
      <c r="B38" s="5" t="s">
        <v>255</v>
      </c>
      <c r="C38" s="33">
        <f>C$17*stock_ch4</f>
        <v>0</v>
      </c>
      <c r="D38" s="33">
        <f>D$17*stock_ch4</f>
        <v>7.1002226931600604E-3</v>
      </c>
      <c r="E38" s="33">
        <f>E$17*stock_ch4</f>
        <v>1.4376302295129045E-2</v>
      </c>
      <c r="F38" s="33">
        <f>F$17*stock_ch4</f>
        <v>2.9296817926351294E-2</v>
      </c>
      <c r="G38" s="33">
        <f>G$17*stock_ch4</f>
        <v>4.4937538464451747E-2</v>
      </c>
      <c r="H38" s="16" t="s">
        <v>97</v>
      </c>
    </row>
    <row r="39" spans="1:8" x14ac:dyDescent="0.3">
      <c r="A39" s="5" t="s">
        <v>197</v>
      </c>
      <c r="B39" s="5" t="s">
        <v>273</v>
      </c>
      <c r="C39" s="33">
        <f>C$13*water_int</f>
        <v>1.7999999999999998</v>
      </c>
      <c r="D39" s="33">
        <f>D$13*water_int</f>
        <v>1.8165137614678897</v>
      </c>
      <c r="E39" s="33">
        <f>E$13*water_int</f>
        <v>1.8390092879256967</v>
      </c>
      <c r="F39" s="33">
        <f>F$13*water_int</f>
        <v>1.8738170347003154</v>
      </c>
      <c r="G39" s="33">
        <f>G$13*water_int</f>
        <v>1.9161290322580644</v>
      </c>
      <c r="H39" s="16" t="s">
        <v>105</v>
      </c>
    </row>
    <row r="40" spans="1:8" x14ac:dyDescent="0.3">
      <c r="A40" s="5" t="s">
        <v>290</v>
      </c>
      <c r="B40" s="5" t="s">
        <v>255</v>
      </c>
      <c r="C40" s="33">
        <f>C$14/1000*co2_coal</f>
        <v>1031.9999999999998</v>
      </c>
      <c r="D40" s="33">
        <f>D$14/1000*co2_coal</f>
        <v>989.39449541284387</v>
      </c>
      <c r="E40" s="33">
        <f>E$14/1000*co2_coal</f>
        <v>948.92879256965944</v>
      </c>
      <c r="F40" s="33">
        <f>F$14/1000*co2_coal</f>
        <v>859.45741324921119</v>
      </c>
      <c r="G40" s="33">
        <f>G$14/1000*co2_coal</f>
        <v>769.00645161290322</v>
      </c>
      <c r="H40" s="16" t="s">
        <v>105</v>
      </c>
    </row>
    <row r="41" spans="1:8" x14ac:dyDescent="0.3">
      <c r="A41" s="5" t="s">
        <v>292</v>
      </c>
      <c r="B41" s="5" t="s">
        <v>255</v>
      </c>
      <c r="C41" s="33">
        <f>C$15/1000*co2_pks</f>
        <v>0</v>
      </c>
      <c r="D41" s="33">
        <f>D$15/1000*co2_pks</f>
        <v>60.550458715596321</v>
      </c>
      <c r="E41" s="33">
        <f>E$15/1000*co2_pks</f>
        <v>122.60061919504646</v>
      </c>
      <c r="F41" s="33">
        <f>F$15/1000*co2_pks</f>
        <v>249.84227129337535</v>
      </c>
      <c r="G41" s="33">
        <f>G$15/1000*co2_pks</f>
        <v>383.22580645161287</v>
      </c>
      <c r="H41" s="16" t="s">
        <v>105</v>
      </c>
    </row>
    <row r="42" spans="1:8" x14ac:dyDescent="0.3">
      <c r="A42" s="5" t="s">
        <v>294</v>
      </c>
      <c r="B42" s="5" t="s">
        <v>255</v>
      </c>
      <c r="C42" s="33">
        <f>C$14/1000*ch4_ef</f>
        <v>1.0909090909090908E-2</v>
      </c>
      <c r="D42" s="33">
        <f>D$14/1000*ch4_ef</f>
        <v>1.0458715596330274E-2</v>
      </c>
      <c r="E42" s="33">
        <f>E$14/1000*ch4_ef</f>
        <v>1.0030959752321982E-2</v>
      </c>
      <c r="F42" s="33">
        <f>F$14/1000*ch4_ef</f>
        <v>9.0851735015772851E-3</v>
      </c>
      <c r="G42" s="33">
        <f>G$14/1000*ch4_ef</f>
        <v>8.1290322580645155E-3</v>
      </c>
      <c r="H42" s="16" t="s">
        <v>105</v>
      </c>
    </row>
    <row r="43" spans="1:8" x14ac:dyDescent="0.3">
      <c r="A43" s="5" t="s">
        <v>296</v>
      </c>
      <c r="B43" s="5" t="s">
        <v>255</v>
      </c>
      <c r="C43" s="33">
        <f>C$15/1000*ch4_ef</f>
        <v>0</v>
      </c>
      <c r="D43" s="33">
        <f>D$15/1000*ch4_ef</f>
        <v>5.5045871559633022E-4</v>
      </c>
      <c r="E43" s="33">
        <f>E$15/1000*ch4_ef</f>
        <v>1.1145510835913314E-3</v>
      </c>
      <c r="F43" s="33">
        <f>F$15/1000*ch4_ef</f>
        <v>2.2712933753943213E-3</v>
      </c>
      <c r="G43" s="33">
        <f>G$15/1000*ch4_ef</f>
        <v>3.4838709677419352E-3</v>
      </c>
      <c r="H43" s="16" t="s">
        <v>105</v>
      </c>
    </row>
    <row r="44" spans="1:8" x14ac:dyDescent="0.3">
      <c r="A44" s="5" t="s">
        <v>298</v>
      </c>
      <c r="B44" s="5" t="s">
        <v>255</v>
      </c>
      <c r="C44" s="33">
        <f>C$13/1000*n2o_ef</f>
        <v>1.6363636363636361E-2</v>
      </c>
      <c r="D44" s="33">
        <f>D$13/1000*n2o_ef</f>
        <v>1.6513761467889909E-2</v>
      </c>
      <c r="E44" s="33">
        <f>E$13/1000*n2o_ef</f>
        <v>1.6718266253869969E-2</v>
      </c>
      <c r="F44" s="33">
        <f>F$13/1000*n2o_ef</f>
        <v>1.703470031545741E-2</v>
      </c>
      <c r="G44" s="33">
        <f>G$13/1000*n2o_ef</f>
        <v>1.7419354838709676E-2</v>
      </c>
      <c r="H44" s="16" t="s">
        <v>105</v>
      </c>
    </row>
    <row r="45" spans="1:8" x14ac:dyDescent="0.3">
      <c r="A45" s="5" t="s">
        <v>300</v>
      </c>
      <c r="B45" s="5" t="s">
        <v>255</v>
      </c>
      <c r="C45" s="33">
        <f>(C$14+C$15*nox_ratio)/1000*nox_ef</f>
        <v>1.6199999999999999</v>
      </c>
      <c r="D45" s="33">
        <f>(D$14+D$15*nox_ratio)/1000*nox_ef</f>
        <v>1.5878676894829051</v>
      </c>
      <c r="E45" s="33">
        <f>(E$14+E$15*nox_ratio)/1000*nox_ef</f>
        <v>1.5599550121418579</v>
      </c>
      <c r="F45" s="33">
        <f>(F$14+F$15*nox_ratio)/1000*nox_ef</f>
        <v>1.4925266178032819</v>
      </c>
      <c r="G45" s="33">
        <f>(G$14+G$15*nox_ratio)/1000*nox_ef</f>
        <v>1.4270851831143885</v>
      </c>
      <c r="H45" s="16" t="s">
        <v>105</v>
      </c>
    </row>
    <row r="46" spans="1:8" x14ac:dyDescent="0.3">
      <c r="A46" s="5" t="s">
        <v>302</v>
      </c>
      <c r="B46" s="5" t="s">
        <v>255</v>
      </c>
      <c r="C46" s="33">
        <f>(C$14+C$15*so2_ratio)/1000*so2_ef</f>
        <v>2.1499636363636361</v>
      </c>
      <c r="D46" s="33">
        <f>(D$14+D$15*so2_ratio)/1000*so2_ef</f>
        <v>2.074140232935477</v>
      </c>
      <c r="E46" s="33">
        <f>(E$14+E$15*so2_ratio)/1000*so2_ef</f>
        <v>2.0030950846433511</v>
      </c>
      <c r="F46" s="33">
        <f>(F$14+F$15*so2_ratio)/1000*so2_ef</f>
        <v>1.8438846204403929</v>
      </c>
      <c r="G46" s="33">
        <f>(G$14+G$15*so2_ratio)/1000*so2_ef</f>
        <v>1.683945603288409</v>
      </c>
      <c r="H46" s="16" t="s">
        <v>105</v>
      </c>
    </row>
    <row r="47" spans="1:8" x14ac:dyDescent="0.3">
      <c r="A47" s="5" t="s">
        <v>304</v>
      </c>
      <c r="B47" s="5" t="s">
        <v>255</v>
      </c>
      <c r="C47" s="33">
        <f>(C$14+C$15*pm_ratio)/1000*pm25_ef</f>
        <v>8.8003636363636353E-2</v>
      </c>
      <c r="D47" s="33">
        <f>(D$14+D$15*pm_ratio)/1000*pm25_ef</f>
        <v>8.6788890347104047E-2</v>
      </c>
      <c r="E47" s="33">
        <f>(E$14+E$15*pm_ratio)/1000*pm25_ef</f>
        <v>8.5816514820452189E-2</v>
      </c>
      <c r="F47" s="33">
        <f>(F$14+F$15*pm_ratio)/1000*pm25_ef</f>
        <v>8.3268986037893108E-2</v>
      </c>
      <c r="G47" s="33">
        <f>(G$14+G$15*pm_ratio)/1000*pm25_ef</f>
        <v>8.0883235035542483E-2</v>
      </c>
      <c r="H47" s="16" t="s">
        <v>105</v>
      </c>
    </row>
    <row r="49" spans="1:1" x14ac:dyDescent="0.3">
      <c r="A49" s="12" t="s">
        <v>339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7"/>
  <sheetViews>
    <sheetView showGridLines="0" topLeftCell="A32" workbookViewId="0"/>
  </sheetViews>
  <sheetFormatPr defaultRowHeight="14.4" x14ac:dyDescent="0.3"/>
  <cols>
    <col min="1" max="1" width="42" customWidth="1"/>
    <col min="2" max="2" width="14" customWidth="1"/>
    <col min="3" max="6" width="16" customWidth="1"/>
    <col min="7" max="7" width="18" customWidth="1"/>
    <col min="8" max="8" width="16" customWidth="1"/>
  </cols>
  <sheetData>
    <row r="1" spans="1:8" ht="24" customHeight="1" x14ac:dyDescent="0.3">
      <c r="A1" s="1" t="s">
        <v>340</v>
      </c>
      <c r="B1" s="2"/>
      <c r="C1" s="2"/>
      <c r="D1" s="2"/>
      <c r="E1" s="2"/>
      <c r="F1" s="2"/>
      <c r="G1" s="2"/>
      <c r="H1" s="2"/>
    </row>
    <row r="2" spans="1:8" x14ac:dyDescent="0.3">
      <c r="A2" s="24" t="s">
        <v>341</v>
      </c>
    </row>
    <row r="3" spans="1:8" x14ac:dyDescent="0.3">
      <c r="A3" s="6" t="str">
        <f>"Active electricity background: "&amp;elec_name</f>
        <v>Active electricity background: Attributional grid average, time of use 2025</v>
      </c>
    </row>
    <row r="5" spans="1:8" x14ac:dyDescent="0.3">
      <c r="A5" s="4" t="s">
        <v>342</v>
      </c>
      <c r="B5" s="12" t="s">
        <v>343</v>
      </c>
    </row>
    <row r="6" spans="1:8" ht="26.4" x14ac:dyDescent="0.3">
      <c r="A6" s="7" t="s">
        <v>344</v>
      </c>
      <c r="B6" s="7" t="s">
        <v>152</v>
      </c>
      <c r="C6" s="7" t="s">
        <v>310</v>
      </c>
      <c r="D6" s="7" t="s">
        <v>311</v>
      </c>
      <c r="E6" s="7" t="s">
        <v>312</v>
      </c>
      <c r="F6" s="7" t="s">
        <v>313</v>
      </c>
      <c r="G6" s="7" t="s">
        <v>314</v>
      </c>
    </row>
    <row r="7" spans="1:8" x14ac:dyDescent="0.3">
      <c r="A7" s="9" t="s">
        <v>345</v>
      </c>
      <c r="B7" s="9" t="s">
        <v>343</v>
      </c>
      <c r="C7" s="34">
        <f>SUMPRODUCT(INVENTORY!C$24:C$33,BACKGROUND!$C$5:$C$14)</f>
        <v>77.64211915006392</v>
      </c>
      <c r="D7" s="34">
        <f>SUMPRODUCT(INVENTORY!D$24:D$33,BACKGROUND!$C$5:$C$14)</f>
        <v>77.245507603659988</v>
      </c>
      <c r="E7" s="34">
        <f>SUMPRODUCT(INVENTORY!E$24:E$33,BACKGROUND!$C$5:$C$14)</f>
        <v>77.079450938924268</v>
      </c>
      <c r="F7" s="34">
        <f>SUMPRODUCT(INVENTORY!F$24:F$33,BACKGROUND!$C$5:$C$14)</f>
        <v>77.263870670599957</v>
      </c>
      <c r="G7" s="34">
        <f>SUMPRODUCT(INVENTORY!G$24:G$33,BACKGROUND!$C$5:$C$14)</f>
        <v>77.825243110372242</v>
      </c>
    </row>
    <row r="8" spans="1:8" x14ac:dyDescent="0.3">
      <c r="A8" s="9" t="s">
        <v>346</v>
      </c>
      <c r="B8" s="9" t="s">
        <v>343</v>
      </c>
      <c r="C8" s="34">
        <f>SUMPRODUCT(INVENTORY!C$37:C$47,INDICATORS!$D$5:$D$15)</f>
        <v>1036.7923636363635</v>
      </c>
      <c r="D8" s="34">
        <f>SUMPRODUCT(INVENTORY!D$37:D$47,INDICATORS!$D$5:$D$15)</f>
        <v>994.42099041638494</v>
      </c>
      <c r="E8" s="34">
        <f>SUMPRODUCT(INVENTORY!E$37:E$47,INDICATORS!$D$5:$D$15)</f>
        <v>954.21005489881054</v>
      </c>
      <c r="F8" s="34">
        <f>SUMPRODUCT(INVENTORY!F$37:F$47,INDICATORS!$D$5:$D$15)</f>
        <v>865.23096361082526</v>
      </c>
      <c r="G8" s="34">
        <f>SUMPRODUCT(INVENTORY!G$37:G$47,INDICATORS!$D$5:$D$15)</f>
        <v>775.31155869983047</v>
      </c>
    </row>
    <row r="9" spans="1:8" x14ac:dyDescent="0.3">
      <c r="A9" s="8" t="s">
        <v>347</v>
      </c>
      <c r="B9" s="8" t="s">
        <v>343</v>
      </c>
      <c r="C9" s="35">
        <f>C7+C8</f>
        <v>1114.4344827864275</v>
      </c>
      <c r="D9" s="35">
        <f>D7+D8</f>
        <v>1071.6664980200449</v>
      </c>
      <c r="E9" s="35">
        <f>E7+E8</f>
        <v>1031.2895058377349</v>
      </c>
      <c r="F9" s="35">
        <f>F7+F8</f>
        <v>942.49483428142526</v>
      </c>
      <c r="G9" s="35">
        <f>G7+G8</f>
        <v>853.13680181020277</v>
      </c>
    </row>
    <row r="10" spans="1:8" x14ac:dyDescent="0.3">
      <c r="A10" s="36" t="s">
        <v>348</v>
      </c>
      <c r="B10" s="36" t="s">
        <v>349</v>
      </c>
      <c r="C10" s="37">
        <f>INVENTORY!C$41</f>
        <v>0</v>
      </c>
      <c r="D10" s="37">
        <f>INVENTORY!D$41</f>
        <v>60.550458715596321</v>
      </c>
      <c r="E10" s="37">
        <f>INVENTORY!E$41</f>
        <v>122.60061919504646</v>
      </c>
      <c r="F10" s="37">
        <f>INVENTORY!F$41</f>
        <v>249.84227129337535</v>
      </c>
      <c r="G10" s="37">
        <f>INVENTORY!G$41</f>
        <v>383.22580645161287</v>
      </c>
    </row>
    <row r="11" spans="1:8" x14ac:dyDescent="0.3">
      <c r="A11" s="36" t="s">
        <v>350</v>
      </c>
      <c r="B11" s="36" t="s">
        <v>316</v>
      </c>
      <c r="C11" s="38">
        <f>(9-0)*0+(C$9-C$9)/C$9</f>
        <v>0</v>
      </c>
      <c r="D11" s="38">
        <f>(9-0)*0+(C$9-D$9)/C$9</f>
        <v>3.837640114962123E-2</v>
      </c>
      <c r="E11" s="38">
        <f>(9-0)*0+(C$9-E$9)/C$9</f>
        <v>7.4607326166725121E-2</v>
      </c>
      <c r="F11" s="38">
        <f>(9-0)*0+(C$9-F$9)/C$9</f>
        <v>0.15428421424568667</v>
      </c>
      <c r="G11" s="38">
        <f>(9-0)*0+(C$9-G$9)/C$9</f>
        <v>0.23446661514178965</v>
      </c>
    </row>
    <row r="13" spans="1:8" x14ac:dyDescent="0.3">
      <c r="A13" s="4" t="s">
        <v>351</v>
      </c>
      <c r="B13" s="12" t="s">
        <v>352</v>
      </c>
    </row>
    <row r="14" spans="1:8" ht="26.4" x14ac:dyDescent="0.3">
      <c r="A14" s="7" t="s">
        <v>344</v>
      </c>
      <c r="B14" s="7" t="s">
        <v>152</v>
      </c>
      <c r="C14" s="7" t="s">
        <v>310</v>
      </c>
      <c r="D14" s="7" t="s">
        <v>311</v>
      </c>
      <c r="E14" s="7" t="s">
        <v>312</v>
      </c>
      <c r="F14" s="7" t="s">
        <v>313</v>
      </c>
      <c r="G14" s="7" t="s">
        <v>314</v>
      </c>
    </row>
    <row r="15" spans="1:8" x14ac:dyDescent="0.3">
      <c r="A15" s="9" t="s">
        <v>345</v>
      </c>
      <c r="B15" s="9" t="s">
        <v>352</v>
      </c>
      <c r="C15" s="34">
        <f>SUMPRODUCT(INVENTORY!C$24:C$33,BACKGROUND!$D$5:$D$14)</f>
        <v>0.59113054122097164</v>
      </c>
      <c r="D15" s="34">
        <f>SUMPRODUCT(INVENTORY!D$24:D$33,BACKGROUND!$D$5:$D$14)</f>
        <v>0.58417189408975678</v>
      </c>
      <c r="E15" s="34">
        <f>SUMPRODUCT(INVENTORY!E$24:E$33,BACKGROUND!$D$5:$D$14)</f>
        <v>0.57887102207981533</v>
      </c>
      <c r="F15" s="34">
        <f>SUMPRODUCT(INVENTORY!F$24:F$33,BACKGROUND!$D$5:$D$14)</f>
        <v>0.57014921853948908</v>
      </c>
      <c r="G15" s="34">
        <f>SUMPRODUCT(INVENTORY!G$24:G$33,BACKGROUND!$D$5:$D$14)</f>
        <v>0.57376728546221289</v>
      </c>
    </row>
    <row r="16" spans="1:8" x14ac:dyDescent="0.3">
      <c r="A16" s="9" t="s">
        <v>346</v>
      </c>
      <c r="B16" s="9" t="s">
        <v>352</v>
      </c>
      <c r="C16" s="34">
        <f>SUMPRODUCT(INVENTORY!C$37:C$47,INDICATORS!$E$5:$E$15)</f>
        <v>2.7331636363636358</v>
      </c>
      <c r="D16" s="34">
        <f>SUMPRODUCT(INVENTORY!D$37:D$47,INDICATORS!$E$5:$E$15)</f>
        <v>2.6457726011493228</v>
      </c>
      <c r="E16" s="34">
        <f>SUMPRODUCT(INVENTORY!E$37:E$47,INDICATORS!$E$5:$E$15)</f>
        <v>2.5646788890144201</v>
      </c>
      <c r="F16" s="34">
        <f>SUMPRODUCT(INVENTORY!F$37:F$47,INDICATORS!$E$5:$E$15)</f>
        <v>2.3811942028495743</v>
      </c>
      <c r="G16" s="34">
        <f>SUMPRODUCT(INVENTORY!G$37:G$47,INDICATORS!$E$5:$E$15)</f>
        <v>2.1976962692095889</v>
      </c>
    </row>
    <row r="17" spans="1:7" x14ac:dyDescent="0.3">
      <c r="A17" s="8" t="s">
        <v>347</v>
      </c>
      <c r="B17" s="8" t="s">
        <v>352</v>
      </c>
      <c r="C17" s="35">
        <f>C15+C16</f>
        <v>3.3242941775846075</v>
      </c>
      <c r="D17" s="35">
        <f>D15+D16</f>
        <v>3.2299444952390797</v>
      </c>
      <c r="E17" s="35">
        <f>E15+E16</f>
        <v>3.1435499110942353</v>
      </c>
      <c r="F17" s="35">
        <f>F15+F16</f>
        <v>2.9513434213890632</v>
      </c>
      <c r="G17" s="35">
        <f>G15+G16</f>
        <v>2.7714635546718016</v>
      </c>
    </row>
    <row r="19" spans="1:7" x14ac:dyDescent="0.3">
      <c r="A19" s="4" t="s">
        <v>353</v>
      </c>
      <c r="B19" s="12" t="s">
        <v>354</v>
      </c>
    </row>
    <row r="20" spans="1:7" ht="26.4" x14ac:dyDescent="0.3">
      <c r="A20" s="7" t="s">
        <v>344</v>
      </c>
      <c r="B20" s="7" t="s">
        <v>152</v>
      </c>
      <c r="C20" s="7" t="s">
        <v>310</v>
      </c>
      <c r="D20" s="7" t="s">
        <v>311</v>
      </c>
      <c r="E20" s="7" t="s">
        <v>312</v>
      </c>
      <c r="F20" s="7" t="s">
        <v>313</v>
      </c>
      <c r="G20" s="7" t="s">
        <v>314</v>
      </c>
    </row>
    <row r="21" spans="1:7" x14ac:dyDescent="0.3">
      <c r="A21" s="9" t="s">
        <v>345</v>
      </c>
      <c r="B21" s="9" t="s">
        <v>354</v>
      </c>
      <c r="C21" s="34">
        <f>SUMPRODUCT(INVENTORY!C$24:C$33,BACKGROUND!$E$5:$E$14)</f>
        <v>0.25649321810470216</v>
      </c>
      <c r="D21" s="34">
        <f>SUMPRODUCT(INVENTORY!D$24:D$33,BACKGROUND!$E$5:$E$14)</f>
        <v>0.2605700314096564</v>
      </c>
      <c r="E21" s="34">
        <f>SUMPRODUCT(INVENTORY!E$24:E$33,BACKGROUND!$E$5:$E$14)</f>
        <v>0.26554191506923724</v>
      </c>
      <c r="F21" s="34">
        <f>SUMPRODUCT(INVENTORY!F$24:F$33,BACKGROUND!$E$5:$E$14)</f>
        <v>0.27779062474893329</v>
      </c>
      <c r="G21" s="34">
        <f>SUMPRODUCT(INVENTORY!G$24:G$33,BACKGROUND!$E$5:$E$14)</f>
        <v>0.32239865182918309</v>
      </c>
    </row>
    <row r="22" spans="1:7" x14ac:dyDescent="0.3">
      <c r="A22" s="9" t="s">
        <v>346</v>
      </c>
      <c r="B22" s="9" t="s">
        <v>354</v>
      </c>
      <c r="C22" s="34">
        <f>SUMPRODUCT(INVENTORY!C$37:C$47,INDICATORS!$F$5:$F$15)</f>
        <v>1.6199999999999999</v>
      </c>
      <c r="D22" s="34">
        <f>SUMPRODUCT(INVENTORY!D$37:D$47,INDICATORS!$F$5:$F$15)</f>
        <v>1.5878676894829051</v>
      </c>
      <c r="E22" s="34">
        <f>SUMPRODUCT(INVENTORY!E$37:E$47,INDICATORS!$F$5:$F$15)</f>
        <v>1.5599550121418579</v>
      </c>
      <c r="F22" s="34">
        <f>SUMPRODUCT(INVENTORY!F$37:F$47,INDICATORS!$F$5:$F$15)</f>
        <v>1.4925266178032819</v>
      </c>
      <c r="G22" s="34">
        <f>SUMPRODUCT(INVENTORY!G$37:G$47,INDICATORS!$F$5:$F$15)</f>
        <v>1.4270851831143885</v>
      </c>
    </row>
    <row r="23" spans="1:7" x14ac:dyDescent="0.3">
      <c r="A23" s="8" t="s">
        <v>347</v>
      </c>
      <c r="B23" s="8" t="s">
        <v>354</v>
      </c>
      <c r="C23" s="35">
        <f>C21+C22</f>
        <v>1.876493218104702</v>
      </c>
      <c r="D23" s="35">
        <f>D21+D22</f>
        <v>1.8484377208925615</v>
      </c>
      <c r="E23" s="35">
        <f>E21+E22</f>
        <v>1.8254969272110952</v>
      </c>
      <c r="F23" s="35">
        <f>F21+F22</f>
        <v>1.7703172425522151</v>
      </c>
      <c r="G23" s="35">
        <f>G21+G22</f>
        <v>1.7494838349435715</v>
      </c>
    </row>
    <row r="25" spans="1:7" x14ac:dyDescent="0.3">
      <c r="A25" s="4" t="s">
        <v>355</v>
      </c>
      <c r="B25" s="12" t="s">
        <v>356</v>
      </c>
    </row>
    <row r="26" spans="1:7" ht="26.4" x14ac:dyDescent="0.3">
      <c r="A26" s="7" t="s">
        <v>344</v>
      </c>
      <c r="B26" s="7" t="s">
        <v>152</v>
      </c>
      <c r="C26" s="7" t="s">
        <v>310</v>
      </c>
      <c r="D26" s="7" t="s">
        <v>311</v>
      </c>
      <c r="E26" s="7" t="s">
        <v>312</v>
      </c>
      <c r="F26" s="7" t="s">
        <v>313</v>
      </c>
      <c r="G26" s="7" t="s">
        <v>314</v>
      </c>
    </row>
    <row r="27" spans="1:7" x14ac:dyDescent="0.3">
      <c r="A27" s="9" t="s">
        <v>345</v>
      </c>
      <c r="B27" s="9" t="s">
        <v>356</v>
      </c>
      <c r="C27" s="34">
        <f>SUMPRODUCT(INVENTORY!C$24:C$33,BACKGROUND!$F$5:$F$14)</f>
        <v>1.26346529267007</v>
      </c>
      <c r="D27" s="34">
        <f>SUMPRODUCT(INVENTORY!D$24:D$33,BACKGROUND!$F$5:$F$14)</f>
        <v>1.2461967953346562</v>
      </c>
      <c r="E27" s="34">
        <f>SUMPRODUCT(INVENTORY!E$24:E$33,BACKGROUND!$F$5:$F$14)</f>
        <v>1.2324122525317098</v>
      </c>
      <c r="F27" s="34">
        <f>SUMPRODUCT(INVENTORY!F$24:F$33,BACKGROUND!$F$5:$F$14)</f>
        <v>1.2081977969505251</v>
      </c>
      <c r="G27" s="34">
        <f>SUMPRODUCT(INVENTORY!G$24:G$33,BACKGROUND!$F$5:$F$14)</f>
        <v>1.2120203500346729</v>
      </c>
    </row>
    <row r="28" spans="1:7" x14ac:dyDescent="0.3">
      <c r="A28" s="9" t="s">
        <v>346</v>
      </c>
      <c r="B28" s="9" t="s">
        <v>356</v>
      </c>
      <c r="C28" s="34">
        <f>SUMPRODUCT(INVENTORY!C$37:C$47,INDICATORS!$G$5:$G$15)</f>
        <v>0.88969309090909088</v>
      </c>
      <c r="D28" s="34">
        <f>SUMPRODUCT(INVENTORY!D$37:D$47,INDICATORS!$G$5:$G$15)</f>
        <v>0.86295500374151191</v>
      </c>
      <c r="E28" s="34">
        <f>SUMPRODUCT(INVENTORY!E$37:E$47,INDICATORS!$G$5:$G$15)</f>
        <v>0.8383091407026283</v>
      </c>
      <c r="F28" s="34">
        <f>SUMPRODUCT(INVENTORY!F$37:F$47,INDICATORS!$G$5:$G$15)</f>
        <v>0.78217345392396809</v>
      </c>
      <c r="G28" s="34">
        <f>SUMPRODUCT(INVENTORY!G$37:G$47,INDICATORS!$G$5:$G$15)</f>
        <v>0.72620683013176379</v>
      </c>
    </row>
    <row r="29" spans="1:7" x14ac:dyDescent="0.3">
      <c r="A29" s="8" t="s">
        <v>347</v>
      </c>
      <c r="B29" s="8" t="s">
        <v>356</v>
      </c>
      <c r="C29" s="35">
        <f>C27+C28</f>
        <v>2.1531583835791608</v>
      </c>
      <c r="D29" s="35">
        <f>D27+D28</f>
        <v>2.1091517990761681</v>
      </c>
      <c r="E29" s="35">
        <f>E27+E28</f>
        <v>2.0707213932343382</v>
      </c>
      <c r="F29" s="35">
        <f>F27+F28</f>
        <v>1.9903712508744933</v>
      </c>
      <c r="G29" s="35">
        <f>G27+G28</f>
        <v>1.9382271801664368</v>
      </c>
    </row>
    <row r="31" spans="1:7" x14ac:dyDescent="0.3">
      <c r="A31" s="4" t="s">
        <v>357</v>
      </c>
      <c r="B31" s="12" t="s">
        <v>358</v>
      </c>
    </row>
    <row r="32" spans="1:7" ht="26.4" x14ac:dyDescent="0.3">
      <c r="A32" s="7" t="s">
        <v>344</v>
      </c>
      <c r="B32" s="7" t="s">
        <v>152</v>
      </c>
      <c r="C32" s="7" t="s">
        <v>310</v>
      </c>
      <c r="D32" s="7" t="s">
        <v>311</v>
      </c>
      <c r="E32" s="7" t="s">
        <v>312</v>
      </c>
      <c r="F32" s="7" t="s">
        <v>313</v>
      </c>
      <c r="G32" s="7" t="s">
        <v>314</v>
      </c>
    </row>
    <row r="33" spans="1:7" x14ac:dyDescent="0.3">
      <c r="A33" s="9" t="s">
        <v>345</v>
      </c>
      <c r="B33" s="9" t="s">
        <v>358</v>
      </c>
      <c r="C33" s="34">
        <f>SUMPRODUCT(INVENTORY!C$24:C$33,BACKGROUND!$G$5:$G$14)</f>
        <v>0.18724750645236865</v>
      </c>
      <c r="D33" s="34">
        <f>SUMPRODUCT(INVENTORY!D$24:D$33,BACKGROUND!$G$5:$G$14)</f>
        <v>0.18584142366955372</v>
      </c>
      <c r="E33" s="34">
        <f>SUMPRODUCT(INVENTORY!E$24:E$33,BACKGROUND!$G$5:$G$14)</f>
        <v>0.18498022894924612</v>
      </c>
      <c r="F33" s="34">
        <f>SUMPRODUCT(INVENTORY!F$24:F$33,BACKGROUND!$G$5:$G$14)</f>
        <v>0.18390307159408312</v>
      </c>
      <c r="G33" s="34">
        <f>SUMPRODUCT(INVENTORY!G$24:G$33,BACKGROUND!$G$5:$G$14)</f>
        <v>0.18370801597301931</v>
      </c>
    </row>
    <row r="34" spans="1:7" x14ac:dyDescent="0.3">
      <c r="A34" s="9" t="s">
        <v>346</v>
      </c>
      <c r="B34" s="9" t="s">
        <v>358</v>
      </c>
      <c r="C34" s="34">
        <f>SUMPRODUCT(INVENTORY!C$37:C$47,INDICATORS!$H$5:$H$15)</f>
        <v>0</v>
      </c>
      <c r="D34" s="34">
        <f>SUMPRODUCT(INVENTORY!D$37:D$47,INDICATORS!$H$5:$H$15)</f>
        <v>0</v>
      </c>
      <c r="E34" s="34">
        <f>SUMPRODUCT(INVENTORY!E$37:E$47,INDICATORS!$H$5:$H$15)</f>
        <v>0</v>
      </c>
      <c r="F34" s="34">
        <f>SUMPRODUCT(INVENTORY!F$37:F$47,INDICATORS!$H$5:$H$15)</f>
        <v>0</v>
      </c>
      <c r="G34" s="34">
        <f>SUMPRODUCT(INVENTORY!G$37:G$47,INDICATORS!$H$5:$H$15)</f>
        <v>0</v>
      </c>
    </row>
    <row r="35" spans="1:7" x14ac:dyDescent="0.3">
      <c r="A35" s="8" t="s">
        <v>347</v>
      </c>
      <c r="B35" s="8" t="s">
        <v>358</v>
      </c>
      <c r="C35" s="35">
        <f>C33+C34</f>
        <v>0.18724750645236865</v>
      </c>
      <c r="D35" s="35">
        <f>D33+D34</f>
        <v>0.18584142366955372</v>
      </c>
      <c r="E35" s="35">
        <f>E33+E34</f>
        <v>0.18498022894924612</v>
      </c>
      <c r="F35" s="35">
        <f>F33+F34</f>
        <v>0.18390307159408312</v>
      </c>
      <c r="G35" s="35">
        <f>G33+G34</f>
        <v>0.18370801597301931</v>
      </c>
    </row>
    <row r="37" spans="1:7" x14ac:dyDescent="0.3">
      <c r="A37" s="4" t="s">
        <v>359</v>
      </c>
      <c r="B37" s="12" t="s">
        <v>360</v>
      </c>
    </row>
    <row r="38" spans="1:7" ht="26.4" x14ac:dyDescent="0.3">
      <c r="A38" s="7" t="s">
        <v>344</v>
      </c>
      <c r="B38" s="7" t="s">
        <v>152</v>
      </c>
      <c r="C38" s="7" t="s">
        <v>310</v>
      </c>
      <c r="D38" s="7" t="s">
        <v>311</v>
      </c>
      <c r="E38" s="7" t="s">
        <v>312</v>
      </c>
      <c r="F38" s="7" t="s">
        <v>313</v>
      </c>
      <c r="G38" s="7" t="s">
        <v>314</v>
      </c>
    </row>
    <row r="39" spans="1:7" x14ac:dyDescent="0.3">
      <c r="A39" s="9" t="s">
        <v>345</v>
      </c>
      <c r="B39" s="9" t="s">
        <v>360</v>
      </c>
      <c r="C39" s="34">
        <f>SUMPRODUCT(INVENTORY!C$24:C$33,BACKGROUND!$H$5:$H$14)</f>
        <v>0</v>
      </c>
      <c r="D39" s="34">
        <f>SUMPRODUCT(INVENTORY!D$24:D$33,BACKGROUND!$H$5:$H$14)</f>
        <v>0</v>
      </c>
      <c r="E39" s="34">
        <f>SUMPRODUCT(INVENTORY!E$24:E$33,BACKGROUND!$H$5:$H$14)</f>
        <v>0</v>
      </c>
      <c r="F39" s="34">
        <f>SUMPRODUCT(INVENTORY!F$24:F$33,BACKGROUND!$H$5:$H$14)</f>
        <v>0</v>
      </c>
      <c r="G39" s="34">
        <f>SUMPRODUCT(INVENTORY!G$24:G$33,BACKGROUND!$H$5:$H$14)</f>
        <v>0</v>
      </c>
    </row>
    <row r="40" spans="1:7" x14ac:dyDescent="0.3">
      <c r="A40" s="9" t="s">
        <v>346</v>
      </c>
      <c r="B40" s="9" t="s">
        <v>360</v>
      </c>
      <c r="C40" s="34">
        <f>SUMPRODUCT(INVENTORY!C$37:C$47,INDICATORS!$I$5:$I$15)</f>
        <v>0</v>
      </c>
      <c r="D40" s="34">
        <f>SUMPRODUCT(INVENTORY!D$37:D$47,INDICATORS!$I$5:$I$15)</f>
        <v>13.571626683326015</v>
      </c>
      <c r="E40" s="34">
        <f>SUMPRODUCT(INVENTORY!E$37:E$47,INDICATORS!$I$5:$I$15)</f>
        <v>27.479392727229772</v>
      </c>
      <c r="F40" s="34">
        <f>SUMPRODUCT(INVENTORY!F$37:F$47,INDICATORS!$I$5:$I$15)</f>
        <v>55.999014832146464</v>
      </c>
      <c r="G40" s="34">
        <f>SUMPRODUCT(INVENTORY!G$37:G$47,INDICATORS!$I$5:$I$15)</f>
        <v>85.895263073179493</v>
      </c>
    </row>
    <row r="41" spans="1:7" x14ac:dyDescent="0.3">
      <c r="A41" s="8" t="s">
        <v>347</v>
      </c>
      <c r="B41" s="8" t="s">
        <v>360</v>
      </c>
      <c r="C41" s="35">
        <f>C39+C40</f>
        <v>0</v>
      </c>
      <c r="D41" s="35">
        <f>D39+D40</f>
        <v>13.571626683326015</v>
      </c>
      <c r="E41" s="35">
        <f>E39+E40</f>
        <v>27.479392727229772</v>
      </c>
      <c r="F41" s="35">
        <f>F39+F40</f>
        <v>55.999014832146464</v>
      </c>
      <c r="G41" s="35">
        <f>G39+G40</f>
        <v>85.895263073179493</v>
      </c>
    </row>
    <row r="43" spans="1:7" x14ac:dyDescent="0.3">
      <c r="A43" s="4" t="s">
        <v>361</v>
      </c>
      <c r="B43" s="12" t="s">
        <v>273</v>
      </c>
    </row>
    <row r="44" spans="1:7" ht="26.4" x14ac:dyDescent="0.3">
      <c r="A44" s="7" t="s">
        <v>344</v>
      </c>
      <c r="B44" s="7" t="s">
        <v>152</v>
      </c>
      <c r="C44" s="7" t="s">
        <v>310</v>
      </c>
      <c r="D44" s="7" t="s">
        <v>311</v>
      </c>
      <c r="E44" s="7" t="s">
        <v>312</v>
      </c>
      <c r="F44" s="7" t="s">
        <v>313</v>
      </c>
      <c r="G44" s="7" t="s">
        <v>314</v>
      </c>
    </row>
    <row r="45" spans="1:7" x14ac:dyDescent="0.3">
      <c r="A45" s="9" t="s">
        <v>345</v>
      </c>
      <c r="B45" s="9" t="s">
        <v>273</v>
      </c>
      <c r="C45" s="34">
        <f>SUMPRODUCT(INVENTORY!C$24:C$33,BACKGROUND!$I$5:$I$14)</f>
        <v>0</v>
      </c>
      <c r="D45" s="34">
        <f>SUMPRODUCT(INVENTORY!D$24:D$33,BACKGROUND!$I$5:$I$14)</f>
        <v>0</v>
      </c>
      <c r="E45" s="34">
        <f>SUMPRODUCT(INVENTORY!E$24:E$33,BACKGROUND!$I$5:$I$14)</f>
        <v>0</v>
      </c>
      <c r="F45" s="34">
        <f>SUMPRODUCT(INVENTORY!F$24:F$33,BACKGROUND!$I$5:$I$14)</f>
        <v>0</v>
      </c>
      <c r="G45" s="34">
        <f>SUMPRODUCT(INVENTORY!G$24:G$33,BACKGROUND!$I$5:$I$14)</f>
        <v>0</v>
      </c>
    </row>
    <row r="46" spans="1:7" x14ac:dyDescent="0.3">
      <c r="A46" s="9" t="s">
        <v>346</v>
      </c>
      <c r="B46" s="9" t="s">
        <v>273</v>
      </c>
      <c r="C46" s="34">
        <f>SUMPRODUCT(INVENTORY!C$37:C$47,INDICATORS!$J$5:$J$15)</f>
        <v>1.7999999999999998</v>
      </c>
      <c r="D46" s="34">
        <f>SUMPRODUCT(INVENTORY!D$37:D$47,INDICATORS!$J$5:$J$15)</f>
        <v>1.8165137614678897</v>
      </c>
      <c r="E46" s="34">
        <f>SUMPRODUCT(INVENTORY!E$37:E$47,INDICATORS!$J$5:$J$15)</f>
        <v>1.8390092879256967</v>
      </c>
      <c r="F46" s="34">
        <f>SUMPRODUCT(INVENTORY!F$37:F$47,INDICATORS!$J$5:$J$15)</f>
        <v>1.8738170347003154</v>
      </c>
      <c r="G46" s="34">
        <f>SUMPRODUCT(INVENTORY!G$37:G$47,INDICATORS!$J$5:$J$15)</f>
        <v>1.9161290322580644</v>
      </c>
    </row>
    <row r="47" spans="1:7" x14ac:dyDescent="0.3">
      <c r="A47" s="8" t="s">
        <v>347</v>
      </c>
      <c r="B47" s="8" t="s">
        <v>273</v>
      </c>
      <c r="C47" s="35">
        <f>C45+C46</f>
        <v>1.7999999999999998</v>
      </c>
      <c r="D47" s="35">
        <f>D45+D46</f>
        <v>1.8165137614678897</v>
      </c>
      <c r="E47" s="35">
        <f>E45+E46</f>
        <v>1.8390092879256967</v>
      </c>
      <c r="F47" s="35">
        <f>F45+F46</f>
        <v>1.8738170347003154</v>
      </c>
      <c r="G47" s="35">
        <f>G45+G46</f>
        <v>1.9161290322580644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7"/>
  <sheetViews>
    <sheetView showGridLines="0" workbookViewId="0"/>
  </sheetViews>
  <sheetFormatPr defaultRowHeight="14.4" x14ac:dyDescent="0.3"/>
  <cols>
    <col min="1" max="1" width="42" customWidth="1"/>
    <col min="2" max="2" width="14" customWidth="1"/>
    <col min="3" max="6" width="16" customWidth="1"/>
    <col min="7" max="7" width="18" customWidth="1"/>
    <col min="8" max="8" width="50" customWidth="1"/>
  </cols>
  <sheetData>
    <row r="1" spans="1:8" ht="24" customHeight="1" x14ac:dyDescent="0.3">
      <c r="A1" s="1" t="s">
        <v>362</v>
      </c>
      <c r="B1" s="2"/>
      <c r="C1" s="2"/>
      <c r="D1" s="2"/>
      <c r="E1" s="2"/>
      <c r="F1" s="2"/>
      <c r="G1" s="2"/>
      <c r="H1" s="2"/>
    </row>
    <row r="4" spans="1:8" x14ac:dyDescent="0.3">
      <c r="A4" s="4" t="s">
        <v>363</v>
      </c>
    </row>
    <row r="5" spans="1:8" ht="26.4" x14ac:dyDescent="0.3">
      <c r="A5" s="7" t="s">
        <v>364</v>
      </c>
      <c r="B5" s="7" t="s">
        <v>152</v>
      </c>
      <c r="C5" s="7" t="s">
        <v>310</v>
      </c>
      <c r="D5" s="7" t="s">
        <v>311</v>
      </c>
      <c r="E5" s="7" t="s">
        <v>312</v>
      </c>
      <c r="F5" s="7" t="s">
        <v>313</v>
      </c>
      <c r="G5" s="7" t="s">
        <v>314</v>
      </c>
    </row>
    <row r="6" spans="1:8" x14ac:dyDescent="0.3">
      <c r="A6" s="5" t="s">
        <v>365</v>
      </c>
      <c r="B6" s="5" t="s">
        <v>343</v>
      </c>
      <c r="C6" s="31">
        <f>INVENTORY!C24*BACKGROUND!$C$5</f>
        <v>0</v>
      </c>
      <c r="D6" s="31">
        <f>INVENTORY!D24*BACKGROUND!$C$5</f>
        <v>1.3894760651976632</v>
      </c>
      <c r="E6" s="31">
        <f>INVENTORY!E24*BACKGROUND!$C$5</f>
        <v>2.8133663982640007</v>
      </c>
      <c r="F6" s="31">
        <f>INVENTORY!F24*BACKGROUND!$C$5</f>
        <v>5.7332324709102327</v>
      </c>
      <c r="G6" s="31">
        <f>INVENTORY!G24*BACKGROUND!$C$5</f>
        <v>8.7940388384445676</v>
      </c>
    </row>
    <row r="7" spans="1:8" x14ac:dyDescent="0.3">
      <c r="A7" s="5" t="s">
        <v>366</v>
      </c>
      <c r="B7" s="5" t="s">
        <v>343</v>
      </c>
      <c r="C7" s="31">
        <f>INVENTORY!C25*BACKGROUND!$C$6+INVENTORY!C26*BACKGROUND!$C$7+INVENTORY!C38*INDICATORS!$D$6</f>
        <v>0</v>
      </c>
      <c r="D7" s="31">
        <f>INVENTORY!D25*BACKGROUND!$C$6+INVENTORY!D26*BACKGROUND!$C$7+INVENTORY!D38*INDICATORS!$D$6</f>
        <v>0.7709404544879267</v>
      </c>
      <c r="E7" s="31">
        <f>INVENTORY!E25*BACKGROUND!$C$6+INVENTORY!E26*BACKGROUND!$C$7+INVENTORY!E38*INDICATORS!$D$6</f>
        <v>1.5609754093966077</v>
      </c>
      <c r="F7" s="31">
        <f>INVENTORY!F25*BACKGROUND!$C$6+INVENTORY!F26*BACKGROUND!$C$7+INVENTORY!F38*INDICATORS!$D$6</f>
        <v>3.1810413705684804</v>
      </c>
      <c r="G7" s="31">
        <f>INVENTORY!G25*BACKGROUND!$C$6+INVENTORY!G26*BACKGROUND!$C$7+INVENTORY!G38*INDICATORS!$D$6</f>
        <v>4.8793070055010084</v>
      </c>
    </row>
    <row r="8" spans="1:8" x14ac:dyDescent="0.3">
      <c r="A8" s="5" t="s">
        <v>367</v>
      </c>
      <c r="B8" s="5" t="s">
        <v>343</v>
      </c>
      <c r="C8" s="31">
        <f>INVENTORY!C27*BACKGROUND!$C$8+INVENTORY!C28*BACKGROUND!$C$9</f>
        <v>0</v>
      </c>
      <c r="D8" s="31">
        <f>INVENTORY!D27*BACKGROUND!$C$8+INVENTORY!D28*BACKGROUND!$C$9</f>
        <v>0.49116363234894145</v>
      </c>
      <c r="E8" s="31">
        <f>INVENTORY!E27*BACKGROUND!$C$8+INVENTORY!E28*BACKGROUND!$C$9</f>
        <v>0.99449230822355372</v>
      </c>
      <c r="F8" s="31">
        <f>INVENTORY!F27*BACKGROUND!$C$8+INVENTORY!F28*BACKGROUND!$C$9</f>
        <v>3.0399465194593791</v>
      </c>
      <c r="G8" s="31">
        <f>INVENTORY!G27*BACKGROUND!$C$8+INVENTORY!G28*BACKGROUND!$C$9</f>
        <v>5.3009648068019342</v>
      </c>
    </row>
    <row r="9" spans="1:8" x14ac:dyDescent="0.3">
      <c r="A9" s="5" t="s">
        <v>368</v>
      </c>
      <c r="B9" s="5" t="s">
        <v>343</v>
      </c>
      <c r="C9" s="31">
        <f>INVENTORY!C29*BACKGROUND!$C$10</f>
        <v>5.5990707027322504</v>
      </c>
      <c r="D9" s="31">
        <f>INVENTORY!D29*BACKGROUND!$C$10</f>
        <v>5.6768247264800671</v>
      </c>
      <c r="E9" s="31">
        <f>INVENTORY!E29*BACKGROUND!$C$10</f>
        <v>5.7738391307006873</v>
      </c>
      <c r="F9" s="31">
        <f>INVENTORY!F29*BACKGROUND!$C$10</f>
        <v>5.9375607146088347</v>
      </c>
      <c r="G9" s="31">
        <f>INVENTORY!G29*BACKGROUND!$C$10</f>
        <v>6.127301464018319</v>
      </c>
    </row>
    <row r="10" spans="1:8" x14ac:dyDescent="0.3">
      <c r="A10" s="5" t="s">
        <v>369</v>
      </c>
      <c r="B10" s="5" t="s">
        <v>343</v>
      </c>
      <c r="C10" s="31">
        <f>INVENTORY!C30*BACKGROUND!$C$11+INVENTORY!C31*BACKGROUND!$C$12+INVENTORY!C32*BACKGROUND!$C$13+INVENTORY!C40*INDICATORS!$D$8+INVENTORY!C41*INDICATORS!$D$9+INVENTORY!C42*INDICATORS!$D$10+INVENTORY!C43*INDICATORS!$D$11+INVENTORY!C44*INDICATORS!$D$12</f>
        <v>1108.603869702566</v>
      </c>
      <c r="D10" s="31">
        <f>INVENTORY!D30*BACKGROUND!$C$11+INVENTORY!D31*BACKGROUND!$C$12+INVENTORY!D32*BACKGROUND!$C$13+INVENTORY!D40*INDICATORS!$D$8+INVENTORY!D41*INDICATORS!$D$9+INVENTORY!D42*INDICATORS!$D$10+INVENTORY!D43*INDICATORS!$D$11+INVENTORY!D44*INDICATORS!$D$12</f>
        <v>1063.1091525427712</v>
      </c>
      <c r="E10" s="31">
        <f>INVENTORY!E30*BACKGROUND!$C$11+INVENTORY!E31*BACKGROUND!$C$12+INVENTORY!E32*BACKGROUND!$C$13+INVENTORY!E40*INDICATORS!$D$8+INVENTORY!E41*INDICATORS!$D$9+INVENTORY!E42*INDICATORS!$D$10+INVENTORY!E43*INDICATORS!$D$11+INVENTORY!E44*INDICATORS!$D$12</f>
        <v>1019.9198413657141</v>
      </c>
      <c r="F10" s="31">
        <f>INVENTORY!F30*BACKGROUND!$C$11+INVENTORY!F31*BACKGROUND!$C$12+INVENTORY!F32*BACKGROUND!$C$13+INVENTORY!F40*INDICATORS!$D$8+INVENTORY!F41*INDICATORS!$D$9+INVENTORY!F42*INDICATORS!$D$10+INVENTORY!F43*INDICATORS!$D$11+INVENTORY!F44*INDICATORS!$D$12</f>
        <v>924.38151583723777</v>
      </c>
      <c r="G10" s="31">
        <f>INVENTORY!G30*BACKGROUND!$C$11+INVENTORY!G31*BACKGROUND!$C$12+INVENTORY!G32*BACKGROUND!$C$13+INVENTORY!G40*INDICATORS!$D$8+INVENTORY!G41*INDICATORS!$D$9+INVENTORY!G42*INDICATORS!$D$10+INVENTORY!G43*INDICATORS!$D$11+INVENTORY!G44*INDICATORS!$D$12</f>
        <v>827.81862025704243</v>
      </c>
    </row>
    <row r="11" spans="1:8" x14ac:dyDescent="0.3">
      <c r="A11" s="5" t="s">
        <v>370</v>
      </c>
      <c r="B11" s="5" t="s">
        <v>343</v>
      </c>
      <c r="C11" s="31">
        <f>INVENTORY!C33*BACKGROUND!$C$14</f>
        <v>0.23154238112901809</v>
      </c>
      <c r="D11" s="31">
        <f>INVENTORY!D33*BACKGROUND!$C$14</f>
        <v>0.22894059875899322</v>
      </c>
      <c r="E11" s="31">
        <f>INVENTORY!E33*BACKGROUND!$C$14</f>
        <v>0.2269912254359307</v>
      </c>
      <c r="F11" s="31">
        <f>INVENTORY!F33*BACKGROUND!$C$14</f>
        <v>0.2215373686404897</v>
      </c>
      <c r="G11" s="31">
        <f>INVENTORY!G33*BACKGROUND!$C$14</f>
        <v>0.21656943839440282</v>
      </c>
    </row>
    <row r="12" spans="1:8" x14ac:dyDescent="0.3">
      <c r="A12" s="3" t="s">
        <v>371</v>
      </c>
      <c r="B12" s="3" t="s">
        <v>343</v>
      </c>
      <c r="C12" s="39">
        <f>SUM(C6:C11)</f>
        <v>1114.4344827864272</v>
      </c>
      <c r="D12" s="39">
        <f>SUM(D6:D11)</f>
        <v>1071.6664980200449</v>
      </c>
      <c r="E12" s="39">
        <f>SUM(E6:E11)</f>
        <v>1031.2895058377349</v>
      </c>
      <c r="F12" s="39">
        <f>SUM(F6:F11)</f>
        <v>942.49483428142514</v>
      </c>
      <c r="G12" s="39">
        <f>SUM(G6:G11)</f>
        <v>853.13680181020277</v>
      </c>
    </row>
    <row r="13" spans="1:8" x14ac:dyDescent="0.3">
      <c r="A13" s="36" t="s">
        <v>372</v>
      </c>
      <c r="B13" s="36" t="s">
        <v>343</v>
      </c>
      <c r="C13" s="40">
        <f>C12-'IMPACT ASSESSMENT'!C9</f>
        <v>0</v>
      </c>
      <c r="D13" s="40">
        <f>D12-'IMPACT ASSESSMENT'!D9</f>
        <v>0</v>
      </c>
      <c r="E13" s="40">
        <f>E12-'IMPACT ASSESSMENT'!E9</f>
        <v>0</v>
      </c>
      <c r="F13" s="40">
        <f>F12-'IMPACT ASSESSMENT'!F9</f>
        <v>0</v>
      </c>
      <c r="G13" s="40">
        <f>G12-'IMPACT ASSESSMENT'!G9</f>
        <v>0</v>
      </c>
    </row>
    <row r="14" spans="1:8" x14ac:dyDescent="0.3">
      <c r="A14" s="36" t="s">
        <v>373</v>
      </c>
      <c r="B14" s="36" t="s">
        <v>316</v>
      </c>
      <c r="C14" s="38">
        <f>C10/C12</f>
        <v>0.99476809702685898</v>
      </c>
      <c r="D14" s="38">
        <f>D10/D12</f>
        <v>0.99201491742712522</v>
      </c>
      <c r="E14" s="38">
        <f>E10/E12</f>
        <v>0.98897529315709953</v>
      </c>
      <c r="F14" s="38">
        <f>F10/F12</f>
        <v>0.98078151965894089</v>
      </c>
      <c r="G14" s="38">
        <f>G10/G12</f>
        <v>0.97032342116828185</v>
      </c>
    </row>
    <row r="17" spans="1:8" x14ac:dyDescent="0.3">
      <c r="A17" s="4" t="s">
        <v>374</v>
      </c>
    </row>
    <row r="18" spans="1:8" ht="26.4" x14ac:dyDescent="0.3">
      <c r="A18" s="7" t="s">
        <v>375</v>
      </c>
      <c r="B18" s="7" t="s">
        <v>152</v>
      </c>
      <c r="C18" s="7" t="s">
        <v>310</v>
      </c>
      <c r="D18" s="7" t="s">
        <v>311</v>
      </c>
      <c r="E18" s="7" t="s">
        <v>312</v>
      </c>
      <c r="F18" s="7" t="s">
        <v>313</v>
      </c>
      <c r="G18" s="7" t="s">
        <v>314</v>
      </c>
    </row>
    <row r="19" spans="1:8" ht="34.200000000000003" x14ac:dyDescent="0.3">
      <c r="A19" s="5" t="s">
        <v>376</v>
      </c>
      <c r="B19" s="5" t="s">
        <v>343</v>
      </c>
      <c r="C19" s="41">
        <v>1131.03</v>
      </c>
      <c r="D19" s="41">
        <v>1122.03</v>
      </c>
      <c r="E19" s="41">
        <v>1052.94</v>
      </c>
      <c r="F19" s="41">
        <v>972.91</v>
      </c>
      <c r="G19" s="41">
        <v>894.43</v>
      </c>
      <c r="H19" s="18" t="s">
        <v>377</v>
      </c>
    </row>
    <row r="20" spans="1:8" x14ac:dyDescent="0.3">
      <c r="A20" s="5" t="s">
        <v>378</v>
      </c>
      <c r="B20" s="5" t="s">
        <v>343</v>
      </c>
      <c r="C20" s="41">
        <v>1122.98</v>
      </c>
      <c r="D20" s="41">
        <v>1098.18</v>
      </c>
      <c r="E20" s="41">
        <v>1021.72</v>
      </c>
      <c r="F20" s="41">
        <v>946.59</v>
      </c>
      <c r="G20" s="41">
        <v>878.86</v>
      </c>
    </row>
    <row r="21" spans="1:8" x14ac:dyDescent="0.3">
      <c r="A21" s="5" t="s">
        <v>379</v>
      </c>
      <c r="B21" s="5" t="s">
        <v>343</v>
      </c>
      <c r="C21" s="41">
        <v>741.43</v>
      </c>
      <c r="D21" s="41">
        <v>737.83</v>
      </c>
      <c r="E21" s="41">
        <v>681.47</v>
      </c>
      <c r="F21" s="41">
        <v>621.32000000000005</v>
      </c>
      <c r="G21" s="41">
        <v>584.98</v>
      </c>
    </row>
    <row r="22" spans="1:8" x14ac:dyDescent="0.3">
      <c r="A22" s="5" t="s">
        <v>380</v>
      </c>
      <c r="B22" s="5" t="s">
        <v>343</v>
      </c>
      <c r="C22" s="41">
        <v>1504.35</v>
      </c>
      <c r="D22" s="41">
        <v>1595.27</v>
      </c>
      <c r="E22" s="41">
        <v>1528.34</v>
      </c>
      <c r="F22" s="41">
        <v>1377.31</v>
      </c>
      <c r="G22" s="41">
        <v>1252.19</v>
      </c>
    </row>
    <row r="23" spans="1:8" x14ac:dyDescent="0.3">
      <c r="A23" s="5" t="s">
        <v>381</v>
      </c>
      <c r="B23" s="5" t="s">
        <v>316</v>
      </c>
      <c r="C23" s="41">
        <v>21.4</v>
      </c>
      <c r="D23" s="41">
        <v>24.4</v>
      </c>
      <c r="E23" s="41">
        <v>25.7</v>
      </c>
      <c r="F23" s="41">
        <v>24</v>
      </c>
      <c r="G23" s="41">
        <v>23.1</v>
      </c>
    </row>
    <row r="24" spans="1:8" x14ac:dyDescent="0.3">
      <c r="A24" s="5" t="s">
        <v>382</v>
      </c>
      <c r="B24" s="5" t="s">
        <v>218</v>
      </c>
      <c r="C24" s="20">
        <v>0</v>
      </c>
      <c r="D24" s="20">
        <v>0.53500000000000003</v>
      </c>
      <c r="E24" s="20">
        <v>0.59499999999999997</v>
      </c>
      <c r="F24" s="20">
        <v>0.69</v>
      </c>
      <c r="G24" s="20">
        <v>0.78500000000000003</v>
      </c>
    </row>
    <row r="25" spans="1:8" x14ac:dyDescent="0.3">
      <c r="A25" s="3" t="s">
        <v>383</v>
      </c>
      <c r="B25" s="3" t="s">
        <v>343</v>
      </c>
      <c r="C25" s="42">
        <f>'IMPACT ASSESSMENT'!C9</f>
        <v>1114.4344827864275</v>
      </c>
      <c r="D25" s="42">
        <f>'IMPACT ASSESSMENT'!D9</f>
        <v>1071.6664980200449</v>
      </c>
      <c r="E25" s="42">
        <f>'IMPACT ASSESSMENT'!E9</f>
        <v>1031.2895058377349</v>
      </c>
      <c r="F25" s="42">
        <f>'IMPACT ASSESSMENT'!F9</f>
        <v>942.49483428142526</v>
      </c>
      <c r="G25" s="42">
        <f>'IMPACT ASSESSMENT'!G9</f>
        <v>853.13680181020277</v>
      </c>
    </row>
    <row r="26" spans="1:8" x14ac:dyDescent="0.3">
      <c r="A26" s="36" t="s">
        <v>384</v>
      </c>
      <c r="B26" s="36" t="s">
        <v>218</v>
      </c>
      <c r="C26" s="43">
        <f>C19/C25</f>
        <v>1.0148914247269867</v>
      </c>
      <c r="D26" s="43">
        <f>D19/D25</f>
        <v>1.046995499134296</v>
      </c>
      <c r="E26" s="43">
        <f>E19/E25</f>
        <v>1.0209936143437028</v>
      </c>
      <c r="F26" s="43">
        <f>F19/F25</f>
        <v>1.0322709097305174</v>
      </c>
      <c r="G26" s="43">
        <f>G19/G25</f>
        <v>1.0484016140227224</v>
      </c>
    </row>
    <row r="29" spans="1:8" x14ac:dyDescent="0.3">
      <c r="A29" s="4" t="s">
        <v>385</v>
      </c>
    </row>
    <row r="30" spans="1:8" ht="26.4" x14ac:dyDescent="0.3">
      <c r="A30" s="7" t="s">
        <v>150</v>
      </c>
      <c r="B30" s="7" t="s">
        <v>386</v>
      </c>
      <c r="C30" s="7" t="s">
        <v>387</v>
      </c>
      <c r="D30" s="7" t="s">
        <v>388</v>
      </c>
      <c r="E30" s="7" t="s">
        <v>389</v>
      </c>
    </row>
    <row r="31" spans="1:8" x14ac:dyDescent="0.3">
      <c r="A31" s="5" t="s">
        <v>390</v>
      </c>
      <c r="B31" s="44">
        <v>1.1007</v>
      </c>
      <c r="C31" s="44">
        <v>1.1614</v>
      </c>
      <c r="D31" s="45">
        <f t="shared" ref="D31:D38" si="0">C31/SUM($C$31:$C$38)</f>
        <v>0.99443147486072281</v>
      </c>
      <c r="E31" s="16" t="s">
        <v>391</v>
      </c>
    </row>
    <row r="32" spans="1:8" x14ac:dyDescent="0.3">
      <c r="A32" s="5" t="s">
        <v>392</v>
      </c>
      <c r="B32" s="44">
        <v>5.6499999999999996E-3</v>
      </c>
      <c r="C32" s="44">
        <v>5.6100000000000004E-3</v>
      </c>
      <c r="D32" s="45">
        <f t="shared" si="0"/>
        <v>4.8034790545623002E-3</v>
      </c>
      <c r="E32" s="16" t="s">
        <v>393</v>
      </c>
    </row>
    <row r="33" spans="1:8" x14ac:dyDescent="0.3">
      <c r="A33" s="5" t="s">
        <v>394</v>
      </c>
      <c r="B33" s="44">
        <v>-2.538E-2</v>
      </c>
      <c r="C33" s="44">
        <v>8.0999999999999996E-4</v>
      </c>
      <c r="D33" s="45">
        <f t="shared" si="0"/>
        <v>6.9355045172824652E-4</v>
      </c>
      <c r="E33" s="16" t="s">
        <v>395</v>
      </c>
    </row>
    <row r="34" spans="1:8" x14ac:dyDescent="0.3">
      <c r="A34" s="5" t="s">
        <v>396</v>
      </c>
      <c r="B34" s="44">
        <v>1.9000000000000001E-4</v>
      </c>
      <c r="C34" s="44">
        <v>6.0000000000000002E-5</v>
      </c>
      <c r="D34" s="45">
        <f t="shared" si="0"/>
        <v>5.1374107535425673E-5</v>
      </c>
      <c r="E34" s="16" t="s">
        <v>397</v>
      </c>
    </row>
    <row r="35" spans="1:8" x14ac:dyDescent="0.3">
      <c r="A35" s="5" t="s">
        <v>335</v>
      </c>
      <c r="B35" s="44">
        <v>-1.1E-4</v>
      </c>
      <c r="C35" s="44">
        <v>2.0000000000000002E-5</v>
      </c>
      <c r="D35" s="45">
        <f t="shared" si="0"/>
        <v>1.7124702511808557E-5</v>
      </c>
      <c r="E35" s="16" t="s">
        <v>398</v>
      </c>
    </row>
    <row r="36" spans="1:8" x14ac:dyDescent="0.3">
      <c r="A36" s="5" t="s">
        <v>399</v>
      </c>
      <c r="B36" s="44">
        <v>-1.0000000000000001E-5</v>
      </c>
      <c r="C36" s="44">
        <v>2.7E-6</v>
      </c>
      <c r="D36" s="45">
        <f t="shared" si="0"/>
        <v>2.3118348390941552E-6</v>
      </c>
      <c r="E36" s="16" t="s">
        <v>400</v>
      </c>
    </row>
    <row r="37" spans="1:8" x14ac:dyDescent="0.3">
      <c r="A37" s="5" t="s">
        <v>401</v>
      </c>
      <c r="B37" s="44">
        <v>0</v>
      </c>
      <c r="C37" s="44">
        <v>7.9999999999999996E-7</v>
      </c>
      <c r="D37" s="45">
        <f t="shared" si="0"/>
        <v>6.8498810047234224E-7</v>
      </c>
      <c r="E37" s="16" t="s">
        <v>402</v>
      </c>
    </row>
    <row r="38" spans="1:8" x14ac:dyDescent="0.3">
      <c r="A38" s="5" t="s">
        <v>403</v>
      </c>
      <c r="B38" s="44">
        <v>0</v>
      </c>
      <c r="C38" s="44">
        <v>0</v>
      </c>
      <c r="D38" s="45">
        <f t="shared" si="0"/>
        <v>0</v>
      </c>
      <c r="E38" s="16" t="s">
        <v>404</v>
      </c>
    </row>
    <row r="41" spans="1:8" x14ac:dyDescent="0.3">
      <c r="A41" s="4" t="s">
        <v>405</v>
      </c>
    </row>
    <row r="42" spans="1:8" ht="30" customHeight="1" x14ac:dyDescent="0.3">
      <c r="A42" s="3" t="s">
        <v>406</v>
      </c>
      <c r="B42" s="86" t="s">
        <v>407</v>
      </c>
      <c r="C42" s="87"/>
      <c r="D42" s="87"/>
      <c r="E42" s="87"/>
      <c r="F42" s="87"/>
      <c r="G42" s="87"/>
      <c r="H42" s="87"/>
    </row>
    <row r="43" spans="1:8" ht="30" customHeight="1" x14ac:dyDescent="0.3">
      <c r="A43" s="3" t="s">
        <v>408</v>
      </c>
      <c r="B43" s="86" t="s">
        <v>409</v>
      </c>
      <c r="C43" s="87"/>
      <c r="D43" s="87"/>
      <c r="E43" s="87"/>
      <c r="F43" s="87"/>
      <c r="G43" s="87"/>
      <c r="H43" s="87"/>
    </row>
    <row r="44" spans="1:8" ht="30" customHeight="1" x14ac:dyDescent="0.3">
      <c r="A44" s="3" t="s">
        <v>410</v>
      </c>
      <c r="B44" s="86" t="s">
        <v>411</v>
      </c>
      <c r="C44" s="87"/>
      <c r="D44" s="87"/>
      <c r="E44" s="87"/>
      <c r="F44" s="87"/>
      <c r="G44" s="87"/>
      <c r="H44" s="87"/>
    </row>
    <row r="45" spans="1:8" ht="30" customHeight="1" x14ac:dyDescent="0.3">
      <c r="A45" s="3" t="s">
        <v>412</v>
      </c>
      <c r="B45" s="86" t="s">
        <v>413</v>
      </c>
      <c r="C45" s="87"/>
      <c r="D45" s="87"/>
      <c r="E45" s="87"/>
      <c r="F45" s="87"/>
      <c r="G45" s="87"/>
      <c r="H45" s="87"/>
    </row>
    <row r="46" spans="1:8" ht="30" customHeight="1" x14ac:dyDescent="0.3">
      <c r="A46" s="3" t="s">
        <v>414</v>
      </c>
      <c r="B46" s="86" t="s">
        <v>415</v>
      </c>
      <c r="C46" s="87"/>
      <c r="D46" s="87"/>
      <c r="E46" s="87"/>
      <c r="F46" s="87"/>
      <c r="G46" s="87"/>
      <c r="H46" s="87"/>
    </row>
    <row r="47" spans="1:8" ht="30" customHeight="1" x14ac:dyDescent="0.3">
      <c r="A47" s="3" t="s">
        <v>416</v>
      </c>
      <c r="B47" s="86" t="s">
        <v>417</v>
      </c>
      <c r="C47" s="87"/>
      <c r="D47" s="87"/>
      <c r="E47" s="87"/>
      <c r="F47" s="87"/>
      <c r="G47" s="87"/>
      <c r="H47" s="87"/>
    </row>
  </sheetData>
  <mergeCells count="6">
    <mergeCell ref="B44:H44"/>
    <mergeCell ref="B43:H43"/>
    <mergeCell ref="B47:H47"/>
    <mergeCell ref="B42:H42"/>
    <mergeCell ref="B45:H45"/>
    <mergeCell ref="B46:H4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showGridLines="0" workbookViewId="0"/>
  </sheetViews>
  <sheetFormatPr defaultRowHeight="14.4" x14ac:dyDescent="0.3"/>
  <cols>
    <col min="1" max="1" width="40" customWidth="1"/>
    <col min="2" max="2" width="18" customWidth="1"/>
    <col min="3" max="3" width="14" customWidth="1"/>
    <col min="4" max="4" width="60" customWidth="1"/>
    <col min="5" max="7" width="14" customWidth="1"/>
  </cols>
  <sheetData>
    <row r="1" spans="1:7" ht="24" customHeight="1" x14ac:dyDescent="0.3">
      <c r="A1" s="1" t="s">
        <v>418</v>
      </c>
      <c r="B1" s="2"/>
      <c r="C1" s="2"/>
      <c r="D1" s="2"/>
      <c r="E1" s="2"/>
      <c r="F1" s="2"/>
      <c r="G1" s="2"/>
    </row>
    <row r="4" spans="1:7" x14ac:dyDescent="0.3">
      <c r="A4" s="7" t="s">
        <v>309</v>
      </c>
      <c r="B4" s="7" t="s">
        <v>151</v>
      </c>
      <c r="C4" s="7" t="s">
        <v>152</v>
      </c>
      <c r="D4" s="7" t="s">
        <v>153</v>
      </c>
    </row>
    <row r="5" spans="1:7" x14ac:dyDescent="0.3">
      <c r="A5" s="9" t="s">
        <v>419</v>
      </c>
      <c r="B5" s="46">
        <v>16300</v>
      </c>
      <c r="C5" s="9" t="s">
        <v>420</v>
      </c>
      <c r="D5" s="14" t="s">
        <v>421</v>
      </c>
    </row>
    <row r="6" spans="1:7" x14ac:dyDescent="0.3">
      <c r="A6" s="9" t="s">
        <v>422</v>
      </c>
      <c r="B6" s="46">
        <v>750000</v>
      </c>
      <c r="C6" s="9" t="s">
        <v>423</v>
      </c>
      <c r="D6" s="14" t="s">
        <v>424</v>
      </c>
    </row>
    <row r="7" spans="1:7" ht="22.8" x14ac:dyDescent="0.3">
      <c r="A7" s="9" t="s">
        <v>425</v>
      </c>
      <c r="B7" s="46">
        <v>900000</v>
      </c>
      <c r="C7" s="9" t="s">
        <v>423</v>
      </c>
      <c r="D7" s="14" t="s">
        <v>426</v>
      </c>
    </row>
    <row r="8" spans="1:7" x14ac:dyDescent="0.3">
      <c r="A8" s="9" t="s">
        <v>427</v>
      </c>
      <c r="B8" s="46">
        <v>750000</v>
      </c>
      <c r="C8" s="9" t="s">
        <v>423</v>
      </c>
      <c r="D8" s="14" t="s">
        <v>428</v>
      </c>
    </row>
    <row r="9" spans="1:7" x14ac:dyDescent="0.3">
      <c r="A9" s="9" t="s">
        <v>429</v>
      </c>
      <c r="B9" s="46">
        <v>1200000</v>
      </c>
      <c r="C9" s="9" t="s">
        <v>423</v>
      </c>
      <c r="D9" s="14" t="s">
        <v>430</v>
      </c>
    </row>
    <row r="10" spans="1:7" x14ac:dyDescent="0.3">
      <c r="A10" s="9" t="s">
        <v>431</v>
      </c>
      <c r="B10" s="46">
        <v>60000</v>
      </c>
      <c r="C10" s="9" t="s">
        <v>432</v>
      </c>
      <c r="D10" s="14" t="s">
        <v>433</v>
      </c>
    </row>
    <row r="11" spans="1:7" x14ac:dyDescent="0.3">
      <c r="A11" s="9" t="s">
        <v>434</v>
      </c>
      <c r="B11" s="29">
        <v>0.1</v>
      </c>
      <c r="C11" s="9" t="s">
        <v>189</v>
      </c>
      <c r="D11" s="14" t="s">
        <v>435</v>
      </c>
    </row>
    <row r="12" spans="1:7" x14ac:dyDescent="0.3">
      <c r="A12" s="9" t="s">
        <v>436</v>
      </c>
      <c r="B12" s="47">
        <v>25</v>
      </c>
      <c r="C12" s="9" t="s">
        <v>437</v>
      </c>
      <c r="D12" s="14" t="s">
        <v>438</v>
      </c>
    </row>
    <row r="13" spans="1:7" x14ac:dyDescent="0.3">
      <c r="A13" s="9" t="s">
        <v>439</v>
      </c>
      <c r="B13" s="47">
        <v>300</v>
      </c>
      <c r="C13" s="9" t="s">
        <v>440</v>
      </c>
      <c r="D13" s="14" t="s">
        <v>441</v>
      </c>
    </row>
    <row r="14" spans="1:7" x14ac:dyDescent="0.3">
      <c r="A14" s="9" t="s">
        <v>442</v>
      </c>
      <c r="B14" s="29">
        <v>0.65</v>
      </c>
      <c r="C14" s="9" t="s">
        <v>189</v>
      </c>
      <c r="D14" s="14" t="s">
        <v>443</v>
      </c>
    </row>
    <row r="15" spans="1:7" x14ac:dyDescent="0.3">
      <c r="A15" s="9" t="s">
        <v>444</v>
      </c>
      <c r="B15" s="46">
        <v>480000</v>
      </c>
      <c r="C15" s="9" t="s">
        <v>423</v>
      </c>
      <c r="D15" s="14" t="s">
        <v>445</v>
      </c>
    </row>
    <row r="16" spans="1:7" x14ac:dyDescent="0.3">
      <c r="A16" s="9" t="s">
        <v>446</v>
      </c>
      <c r="B16" s="46">
        <v>180000</v>
      </c>
      <c r="C16" s="9" t="s">
        <v>423</v>
      </c>
      <c r="D16" s="14" t="s">
        <v>447</v>
      </c>
    </row>
    <row r="17" spans="1:4" x14ac:dyDescent="0.3">
      <c r="A17" s="9" t="s">
        <v>448</v>
      </c>
      <c r="B17" s="46">
        <v>4500</v>
      </c>
      <c r="C17" s="9" t="s">
        <v>449</v>
      </c>
      <c r="D17" s="14" t="s">
        <v>450</v>
      </c>
    </row>
    <row r="18" spans="1:4" x14ac:dyDescent="0.3">
      <c r="A18" s="9" t="s">
        <v>451</v>
      </c>
      <c r="B18" s="46">
        <v>1100</v>
      </c>
      <c r="C18" s="9" t="s">
        <v>452</v>
      </c>
      <c r="D18" s="14" t="s">
        <v>453</v>
      </c>
    </row>
    <row r="20" spans="1:4" x14ac:dyDescent="0.3">
      <c r="A20" s="3" t="s">
        <v>454</v>
      </c>
    </row>
    <row r="21" spans="1:4" x14ac:dyDescent="0.3">
      <c r="A21" s="5" t="s">
        <v>455</v>
      </c>
      <c r="B21" s="48">
        <f>cap_mw*8760*cap_factor</f>
        <v>1708200</v>
      </c>
      <c r="C21" s="5" t="s">
        <v>456</v>
      </c>
    </row>
    <row r="22" spans="1:4" x14ac:dyDescent="0.3">
      <c r="A22" s="5" t="s">
        <v>457</v>
      </c>
      <c r="B22" s="31">
        <f>wacc*(1+wacc)^life/((1+wacc)^life-1)</f>
        <v>0.11016807219002084</v>
      </c>
      <c r="C22" s="5" t="s">
        <v>458</v>
      </c>
    </row>
    <row r="23" spans="1:4" x14ac:dyDescent="0.3">
      <c r="A23" s="5" t="s">
        <v>459</v>
      </c>
      <c r="B23" s="31">
        <f>coal_price/fx</f>
        <v>46.012269938650306</v>
      </c>
      <c r="C23" s="5" t="s">
        <v>460</v>
      </c>
    </row>
    <row r="24" spans="1:4" x14ac:dyDescent="0.3">
      <c r="A24" s="5" t="s">
        <v>461</v>
      </c>
      <c r="B24" s="31">
        <f>pks_price/fx</f>
        <v>55.214723926380366</v>
      </c>
      <c r="C24" s="5" t="s">
        <v>460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1"/>
  <sheetViews>
    <sheetView showGridLines="0" workbookViewId="0">
      <selection activeCell="H10" sqref="H10"/>
    </sheetView>
  </sheetViews>
  <sheetFormatPr defaultRowHeight="14.4" x14ac:dyDescent="0.3"/>
  <cols>
    <col min="1" max="1" width="44" customWidth="1"/>
    <col min="2" max="2" width="20.6640625" customWidth="1"/>
    <col min="3" max="6" width="16" customWidth="1"/>
    <col min="7" max="7" width="18" customWidth="1"/>
    <col min="8" max="8" width="50" customWidth="1"/>
  </cols>
  <sheetData>
    <row r="1" spans="1:8" ht="24" customHeight="1" x14ac:dyDescent="0.3">
      <c r="A1" s="1" t="s">
        <v>462</v>
      </c>
      <c r="B1" s="2"/>
      <c r="C1" s="2"/>
      <c r="D1" s="2"/>
      <c r="E1" s="2"/>
      <c r="F1" s="2"/>
      <c r="G1" s="2"/>
      <c r="H1" s="2"/>
    </row>
    <row r="2" spans="1:8" x14ac:dyDescent="0.3">
      <c r="A2" s="24" t="s">
        <v>463</v>
      </c>
    </row>
    <row r="4" spans="1:8" x14ac:dyDescent="0.3">
      <c r="A4" s="3" t="s">
        <v>464</v>
      </c>
    </row>
    <row r="5" spans="1:8" x14ac:dyDescent="0.3">
      <c r="A5" s="7" t="s">
        <v>465</v>
      </c>
      <c r="B5" s="7" t="s">
        <v>466</v>
      </c>
      <c r="C5" s="7" t="s">
        <v>152</v>
      </c>
      <c r="D5" s="7" t="s">
        <v>216</v>
      </c>
    </row>
    <row r="6" spans="1:8" ht="34.200000000000003" x14ac:dyDescent="0.3">
      <c r="A6" s="5" t="s">
        <v>467</v>
      </c>
      <c r="B6" s="49">
        <v>85000000000</v>
      </c>
      <c r="C6" s="5" t="s">
        <v>468</v>
      </c>
      <c r="D6" s="18" t="s">
        <v>469</v>
      </c>
    </row>
    <row r="7" spans="1:8" ht="34.200000000000003" x14ac:dyDescent="0.3">
      <c r="A7" s="5" t="s">
        <v>470</v>
      </c>
      <c r="B7" s="49">
        <v>45000000000</v>
      </c>
      <c r="C7" s="5" t="s">
        <v>468</v>
      </c>
      <c r="D7" s="18" t="s">
        <v>471</v>
      </c>
    </row>
    <row r="8" spans="1:8" ht="22.8" x14ac:dyDescent="0.3">
      <c r="A8" s="5" t="s">
        <v>472</v>
      </c>
      <c r="B8" s="49">
        <v>38000000000</v>
      </c>
      <c r="C8" s="5" t="s">
        <v>468</v>
      </c>
      <c r="D8" s="18" t="s">
        <v>473</v>
      </c>
    </row>
    <row r="9" spans="1:8" ht="34.200000000000003" x14ac:dyDescent="0.3">
      <c r="A9" s="5" t="s">
        <v>474</v>
      </c>
      <c r="B9" s="49">
        <v>60000000000</v>
      </c>
      <c r="C9" s="5" t="s">
        <v>468</v>
      </c>
      <c r="D9" s="18" t="s">
        <v>475</v>
      </c>
    </row>
    <row r="10" spans="1:8" ht="34.200000000000003" x14ac:dyDescent="0.3">
      <c r="A10" s="5" t="s">
        <v>476</v>
      </c>
      <c r="B10" s="49">
        <v>32000000000</v>
      </c>
      <c r="C10" s="5" t="s">
        <v>468</v>
      </c>
      <c r="D10" s="18" t="s">
        <v>477</v>
      </c>
    </row>
    <row r="11" spans="1:8" ht="22.8" x14ac:dyDescent="0.3">
      <c r="A11" s="5" t="s">
        <v>478</v>
      </c>
      <c r="B11" s="49">
        <v>15000000000</v>
      </c>
      <c r="C11" s="5" t="s">
        <v>468</v>
      </c>
      <c r="D11" s="18" t="s">
        <v>479</v>
      </c>
    </row>
    <row r="12" spans="1:8" ht="34.200000000000003" x14ac:dyDescent="0.3">
      <c r="A12" s="5" t="s">
        <v>480</v>
      </c>
      <c r="B12" s="49">
        <v>12000000000</v>
      </c>
      <c r="C12" s="5" t="s">
        <v>468</v>
      </c>
      <c r="D12" s="18" t="s">
        <v>481</v>
      </c>
    </row>
    <row r="13" spans="1:8" ht="34.200000000000003" x14ac:dyDescent="0.3">
      <c r="A13" s="5" t="s">
        <v>482</v>
      </c>
      <c r="B13" s="49">
        <v>40000000000</v>
      </c>
      <c r="C13" s="5" t="s">
        <v>468</v>
      </c>
      <c r="D13" s="18" t="s">
        <v>483</v>
      </c>
    </row>
    <row r="14" spans="1:8" x14ac:dyDescent="0.3">
      <c r="A14" s="5" t="s">
        <v>484</v>
      </c>
      <c r="B14" s="49">
        <v>28000000000</v>
      </c>
      <c r="C14" s="5" t="s">
        <v>468</v>
      </c>
      <c r="D14" s="18" t="s">
        <v>485</v>
      </c>
    </row>
    <row r="15" spans="1:8" x14ac:dyDescent="0.3">
      <c r="A15" s="3" t="s">
        <v>486</v>
      </c>
      <c r="B15" s="50">
        <f>SUM(B6:B14)</f>
        <v>355000000000</v>
      </c>
    </row>
    <row r="16" spans="1:8" x14ac:dyDescent="0.3">
      <c r="A16" s="3" t="s">
        <v>487</v>
      </c>
      <c r="B16" s="51">
        <f>B15*B17</f>
        <v>53250000000</v>
      </c>
    </row>
    <row r="17" spans="1:7" x14ac:dyDescent="0.3">
      <c r="A17" s="5" t="s">
        <v>488</v>
      </c>
      <c r="B17" s="52">
        <v>0.15</v>
      </c>
    </row>
    <row r="18" spans="1:7" x14ac:dyDescent="0.3">
      <c r="A18" s="4" t="s">
        <v>489</v>
      </c>
      <c r="B18" s="50">
        <f>B15+B16</f>
        <v>408250000000</v>
      </c>
    </row>
    <row r="19" spans="1:7" x14ac:dyDescent="0.3">
      <c r="A19" s="3" t="s">
        <v>490</v>
      </c>
      <c r="B19" s="50">
        <f>(SUM(B6:B14)-B13)*(1+B17)</f>
        <v>362250000000</v>
      </c>
    </row>
    <row r="20" spans="1:7" x14ac:dyDescent="0.3">
      <c r="A20" s="5" t="s">
        <v>491</v>
      </c>
      <c r="B20" s="53">
        <v>30</v>
      </c>
    </row>
    <row r="21" spans="1:7" x14ac:dyDescent="0.3">
      <c r="A21" s="5" t="s">
        <v>492</v>
      </c>
      <c r="B21" s="54">
        <v>0.7</v>
      </c>
    </row>
    <row r="23" spans="1:7" x14ac:dyDescent="0.3">
      <c r="A23" s="4" t="s">
        <v>493</v>
      </c>
    </row>
    <row r="24" spans="1:7" ht="26.4" x14ac:dyDescent="0.3">
      <c r="A24" s="7" t="s">
        <v>309</v>
      </c>
      <c r="B24" s="7" t="s">
        <v>152</v>
      </c>
      <c r="C24" s="7" t="s">
        <v>310</v>
      </c>
      <c r="D24" s="7" t="s">
        <v>311</v>
      </c>
      <c r="E24" s="7" t="s">
        <v>312</v>
      </c>
      <c r="F24" s="7" t="s">
        <v>313</v>
      </c>
      <c r="G24" s="7" t="s">
        <v>314</v>
      </c>
    </row>
    <row r="25" spans="1:7" x14ac:dyDescent="0.3">
      <c r="A25" s="5" t="s">
        <v>494</v>
      </c>
      <c r="B25" s="5" t="s">
        <v>316</v>
      </c>
      <c r="C25" s="55">
        <f>INVENTORY!C6</f>
        <v>0</v>
      </c>
      <c r="D25" s="55">
        <f>INVENTORY!D6</f>
        <v>5</v>
      </c>
      <c r="E25" s="55">
        <f>INVENTORY!E6</f>
        <v>10</v>
      </c>
      <c r="F25" s="55">
        <f>INVENTORY!F6</f>
        <v>20</v>
      </c>
      <c r="G25" s="55">
        <f>INVENTORY!G6</f>
        <v>30</v>
      </c>
    </row>
    <row r="26" spans="1:7" x14ac:dyDescent="0.3">
      <c r="A26" s="5" t="s">
        <v>495</v>
      </c>
      <c r="B26" s="5" t="s">
        <v>218</v>
      </c>
      <c r="C26" s="56" t="s">
        <v>496</v>
      </c>
      <c r="D26" s="56" t="s">
        <v>496</v>
      </c>
      <c r="E26" s="56" t="s">
        <v>496</v>
      </c>
      <c r="F26" s="56" t="s">
        <v>496</v>
      </c>
      <c r="G26" s="56" t="s">
        <v>497</v>
      </c>
    </row>
    <row r="27" spans="1:7" x14ac:dyDescent="0.3">
      <c r="A27" s="5" t="s">
        <v>498</v>
      </c>
      <c r="B27" s="5" t="s">
        <v>468</v>
      </c>
      <c r="C27" s="51">
        <f>IF(C25=0,0,IF(C26="Yes",ref_capex,ref_capex_nojetty)*(C25/ref_share)^cap_exp)</f>
        <v>0</v>
      </c>
      <c r="D27" s="51">
        <f>IF(D25=0,0,IF(D26="Yes",ref_capex,ref_capex_nojetty)*(D25/ref_share)^cap_exp)</f>
        <v>103348105261.86096</v>
      </c>
      <c r="E27" s="51">
        <f>IF(E25=0,0,IF(E26="Yes",ref_capex,ref_capex_nojetty)*(E25/ref_share)^cap_exp)</f>
        <v>167889492315.64606</v>
      </c>
      <c r="F27" s="51">
        <f>IF(F25=0,0,IF(F26="Yes",ref_capex,ref_capex_nojetty)*(F25/ref_share)^cap_exp)</f>
        <v>272737284912.8306</v>
      </c>
      <c r="G27" s="51">
        <f>IF(G25=0,0,IF(G26="Yes",ref_capex,ref_capex_nojetty)*(G25/ref_share)^cap_exp)</f>
        <v>408250000000</v>
      </c>
    </row>
    <row r="28" spans="1:7" x14ac:dyDescent="0.3">
      <c r="A28" s="5" t="s">
        <v>499</v>
      </c>
      <c r="B28" s="5" t="s">
        <v>500</v>
      </c>
      <c r="C28" s="48">
        <f>C27/fx</f>
        <v>0</v>
      </c>
      <c r="D28" s="48">
        <f>D27/fx</f>
        <v>6340374.5559423901</v>
      </c>
      <c r="E28" s="48">
        <f>E27/fx</f>
        <v>10299968.853720617</v>
      </c>
      <c r="F28" s="48">
        <f>F27/fx</f>
        <v>16732348.767658319</v>
      </c>
      <c r="G28" s="48">
        <f>G27/fx</f>
        <v>25046012.269938651</v>
      </c>
    </row>
    <row r="29" spans="1:7" x14ac:dyDescent="0.3">
      <c r="A29" s="5" t="s">
        <v>501</v>
      </c>
      <c r="B29" s="5" t="s">
        <v>502</v>
      </c>
      <c r="C29" s="23">
        <f>C27/fx/(cap_mw*1000)</f>
        <v>0</v>
      </c>
      <c r="D29" s="23">
        <f>D27/fx/(cap_mw*1000)</f>
        <v>21.134581853141299</v>
      </c>
      <c r="E29" s="23">
        <f>E27/fx/(cap_mw*1000)</f>
        <v>34.333229512402056</v>
      </c>
      <c r="F29" s="23">
        <f>F27/fx/(cap_mw*1000)</f>
        <v>55.774495892194395</v>
      </c>
      <c r="G29" s="23">
        <f>G27/fx/(cap_mw*1000)</f>
        <v>83.486707566462172</v>
      </c>
    </row>
    <row r="31" spans="1:7" x14ac:dyDescent="0.3">
      <c r="A31" s="12" t="s">
        <v>503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5"/>
  <sheetViews>
    <sheetView showGridLines="0" workbookViewId="0"/>
  </sheetViews>
  <sheetFormatPr defaultRowHeight="14.4" x14ac:dyDescent="0.3"/>
  <cols>
    <col min="1" max="1" width="44" customWidth="1"/>
    <col min="2" max="2" width="14" customWidth="1"/>
    <col min="3" max="3" width="21" customWidth="1"/>
    <col min="4" max="4" width="21.77734375" customWidth="1"/>
    <col min="5" max="5" width="20.44140625" customWidth="1"/>
    <col min="6" max="6" width="21.44140625" customWidth="1"/>
    <col min="7" max="7" width="19" customWidth="1"/>
    <col min="8" max="8" width="40" customWidth="1"/>
  </cols>
  <sheetData>
    <row r="1" spans="1:8" ht="24" customHeight="1" x14ac:dyDescent="0.3">
      <c r="A1" s="1" t="s">
        <v>504</v>
      </c>
      <c r="B1" s="2"/>
      <c r="C1" s="2"/>
      <c r="D1" s="2"/>
      <c r="E1" s="2"/>
      <c r="F1" s="2"/>
      <c r="G1" s="2"/>
      <c r="H1" s="2"/>
    </row>
    <row r="3" spans="1:8" x14ac:dyDescent="0.3">
      <c r="A3" s="12" t="s">
        <v>505</v>
      </c>
    </row>
    <row r="5" spans="1:8" ht="26.4" x14ac:dyDescent="0.3">
      <c r="A5" s="7" t="s">
        <v>309</v>
      </c>
      <c r="B5" s="7" t="s">
        <v>152</v>
      </c>
      <c r="C5" s="7" t="s">
        <v>310</v>
      </c>
      <c r="D5" s="7" t="s">
        <v>311</v>
      </c>
      <c r="E5" s="7" t="s">
        <v>312</v>
      </c>
      <c r="F5" s="7" t="s">
        <v>313</v>
      </c>
      <c r="G5" s="7" t="s">
        <v>314</v>
      </c>
    </row>
    <row r="6" spans="1:8" x14ac:dyDescent="0.3">
      <c r="A6" s="5" t="s">
        <v>506</v>
      </c>
      <c r="B6" s="5" t="s">
        <v>507</v>
      </c>
      <c r="C6" s="51">
        <f>INVENTORY!C16*annual_mwh/1000*coal_price</f>
        <v>750358736077.62354</v>
      </c>
      <c r="D6" s="51">
        <f>INVENTORY!D16*annual_mwh/1000*coal_price</f>
        <v>719380623120.29041</v>
      </c>
      <c r="E6" s="51">
        <f>INVENTORY!E16*annual_mwh/1000*coal_price</f>
        <v>689958342461.46814</v>
      </c>
      <c r="F6" s="51">
        <f>INVENTORY!F16*annual_mwh/1000*coal_price</f>
        <v>624904436354.86633</v>
      </c>
      <c r="G6" s="51">
        <f>INVENTORY!G16*annual_mwh/1000*coal_price</f>
        <v>559138283980.42273</v>
      </c>
    </row>
    <row r="7" spans="1:8" x14ac:dyDescent="0.3">
      <c r="A7" s="5" t="s">
        <v>508</v>
      </c>
      <c r="B7" s="5" t="s">
        <v>507</v>
      </c>
      <c r="C7" s="51">
        <f>INVENTORY!C17*annual_mwh/1000*pks_price</f>
        <v>0</v>
      </c>
      <c r="D7" s="51">
        <f>INVENTORY!D17*annual_mwh/1000*pks_price</f>
        <v>49677970072.408928</v>
      </c>
      <c r="E7" s="51">
        <f>INVENTORY!E17*annual_mwh/1000*pks_price</f>
        <v>100586354264.25836</v>
      </c>
      <c r="F7" s="51">
        <f>INVENTORY!F17*annual_mwh/1000*pks_price</f>
        <v>204980393863.44125</v>
      </c>
      <c r="G7" s="51">
        <f>INVENTORY!G17*annual_mwh/1000*pks_price</f>
        <v>314413475103.43982</v>
      </c>
    </row>
    <row r="8" spans="1:8" x14ac:dyDescent="0.3">
      <c r="A8" s="5" t="s">
        <v>509</v>
      </c>
      <c r="B8" s="5" t="s">
        <v>507</v>
      </c>
      <c r="C8" s="51">
        <f>INVENTORY!C27*annual_mwh*truck_tariff</f>
        <v>0</v>
      </c>
      <c r="D8" s="51">
        <f>INVENTORY!D27*annual_mwh*truck_tariff</f>
        <v>6899718065.6123495</v>
      </c>
      <c r="E8" s="51">
        <f>INVENTORY!E27*annual_mwh*truck_tariff</f>
        <v>13970326981.146994</v>
      </c>
      <c r="F8" s="51">
        <f>INVENTORY!F27*annual_mwh*truck_tariff</f>
        <v>42704248721.550262</v>
      </c>
      <c r="G8" s="51">
        <f>INVENTORY!G27*annual_mwh*truck_tariff</f>
        <v>26201122925.286644</v>
      </c>
    </row>
    <row r="9" spans="1:8" x14ac:dyDescent="0.3">
      <c r="A9" s="5" t="s">
        <v>510</v>
      </c>
      <c r="B9" s="5" t="s">
        <v>507</v>
      </c>
      <c r="C9" s="51">
        <f>INVENTORY!C28*annual_mwh*barge_tariff</f>
        <v>0</v>
      </c>
      <c r="D9" s="51">
        <f>INVENTORY!D28*annual_mwh*barge_tariff</f>
        <v>0</v>
      </c>
      <c r="E9" s="51">
        <f>INVENTORY!E28*annual_mwh*barge_tariff</f>
        <v>0</v>
      </c>
      <c r="F9" s="51">
        <f>INVENTORY!F28*annual_mwh*barge_tariff</f>
        <v>0</v>
      </c>
      <c r="G9" s="51">
        <f>INVENTORY!G28*annual_mwh*barge_tariff</f>
        <v>39127010235.094727</v>
      </c>
    </row>
    <row r="10" spans="1:8" x14ac:dyDescent="0.3">
      <c r="A10" s="5" t="s">
        <v>271</v>
      </c>
      <c r="B10" s="5" t="s">
        <v>507</v>
      </c>
      <c r="C10" s="51">
        <f>INVENTORY!C31*annual_mwh/1000*limestone_price</f>
        <v>2767935551.4977107</v>
      </c>
      <c r="D10" s="51">
        <f>INVENTORY!D31*annual_mwh/1000*limestone_price</f>
        <v>2671873456.2185283</v>
      </c>
      <c r="E10" s="51">
        <f>INVENTORY!E31*annual_mwh/1000*limestone_price</f>
        <v>2582001573.9092045</v>
      </c>
      <c r="F10" s="51">
        <f>INVENTORY!F31*annual_mwh/1000*limestone_price</f>
        <v>2380297428.2369118</v>
      </c>
      <c r="G10" s="51">
        <f>INVENTORY!G31*annual_mwh/1000*limestone_price</f>
        <v>2177813100.4178357</v>
      </c>
    </row>
    <row r="11" spans="1:8" x14ac:dyDescent="0.3">
      <c r="A11" s="5" t="s">
        <v>448</v>
      </c>
      <c r="B11" s="5" t="s">
        <v>507</v>
      </c>
      <c r="C11" s="51">
        <f>INVENTORY!C32*annual_mwh*water_cost</f>
        <v>13836419999.999998</v>
      </c>
      <c r="D11" s="51">
        <f>INVENTORY!D32*annual_mwh*water_cost</f>
        <v>13963359633.027521</v>
      </c>
      <c r="E11" s="51">
        <f>INVENTORY!E32*annual_mwh*water_cost</f>
        <v>14136280495.356037</v>
      </c>
      <c r="F11" s="51">
        <f>INVENTORY!F32*annual_mwh*water_cost</f>
        <v>14403844164.037855</v>
      </c>
      <c r="G11" s="51">
        <f>INVENTORY!G32*annual_mwh*water_cost</f>
        <v>14729092258.064516</v>
      </c>
    </row>
    <row r="12" spans="1:8" x14ac:dyDescent="0.3">
      <c r="A12" s="5" t="s">
        <v>511</v>
      </c>
      <c r="B12" s="5" t="s">
        <v>507</v>
      </c>
      <c r="C12" s="51">
        <f>INVENTORY!C33*annual_mwh/1000*faba_cost</f>
        <v>9011863946.838728</v>
      </c>
      <c r="D12" s="51">
        <f>INVENTORY!D33*annual_mwh/1000*faba_cost</f>
        <v>8910599942.2810383</v>
      </c>
      <c r="E12" s="51">
        <f>INVENTORY!E33*annual_mwh/1000*faba_cost</f>
        <v>8834728358.4985104</v>
      </c>
      <c r="F12" s="51">
        <f>INVENTORY!F33*annual_mwh/1000*faba_cost</f>
        <v>8622458729.1269875</v>
      </c>
      <c r="G12" s="51">
        <f>INVENTORY!G33*annual_mwh/1000*faba_cost</f>
        <v>8429101853.1338472</v>
      </c>
    </row>
    <row r="13" spans="1:8" x14ac:dyDescent="0.3">
      <c r="A13" s="5" t="s">
        <v>512</v>
      </c>
      <c r="B13" s="5" t="s">
        <v>507</v>
      </c>
      <c r="C13" s="51">
        <f>INVENTORY!C26*annual_mwh*elec_price</f>
        <v>0</v>
      </c>
      <c r="D13" s="51">
        <f>INVENTORY!D26*annual_mwh*elec_price</f>
        <v>1097772743.1111872</v>
      </c>
      <c r="E13" s="51">
        <f>INVENTORY!E26*annual_mwh*elec_price</f>
        <v>2222734904.0084114</v>
      </c>
      <c r="F13" s="51">
        <f>INVENTORY!F26*annual_mwh*elec_price</f>
        <v>4529611192.395689</v>
      </c>
      <c r="G13" s="51">
        <f>INVENTORY!G26*annual_mwh*elec_price</f>
        <v>6947839103.1746778</v>
      </c>
    </row>
    <row r="14" spans="1:8" x14ac:dyDescent="0.3">
      <c r="A14" s="5" t="s">
        <v>513</v>
      </c>
      <c r="B14" s="5" t="s">
        <v>507</v>
      </c>
      <c r="C14" s="51">
        <f>CAPEX!C27*fom_rate</f>
        <v>0</v>
      </c>
      <c r="D14" s="51">
        <f>CAPEX!D27*fom_rate</f>
        <v>3100443157.8558288</v>
      </c>
      <c r="E14" s="51">
        <f>CAPEX!E27*fom_rate</f>
        <v>5036684769.4693813</v>
      </c>
      <c r="F14" s="51">
        <f>CAPEX!F27*fom_rate</f>
        <v>8182118547.3849173</v>
      </c>
      <c r="G14" s="51">
        <f>CAPEX!G27*fom_rate</f>
        <v>12247500000</v>
      </c>
    </row>
    <row r="15" spans="1:8" x14ac:dyDescent="0.3">
      <c r="A15" s="5" t="s">
        <v>514</v>
      </c>
      <c r="B15" s="5" t="s">
        <v>507</v>
      </c>
      <c r="C15" s="51">
        <f>INVENTORY!C17*annual_mwh/1000*vom_pks</f>
        <v>0</v>
      </c>
      <c r="D15" s="51">
        <f>INVENTORY!D17*annual_mwh/1000*vom_pks</f>
        <v>2318305270.0457501</v>
      </c>
      <c r="E15" s="51">
        <f>INVENTORY!E17*annual_mwh/1000*vom_pks</f>
        <v>4694029865.66539</v>
      </c>
      <c r="F15" s="51">
        <f>INVENTORY!F17*annual_mwh/1000*vom_pks</f>
        <v>9565751713.6272583</v>
      </c>
      <c r="G15" s="51">
        <f>INVENTORY!G17*annual_mwh/1000*vom_pks</f>
        <v>14672628838.160524</v>
      </c>
    </row>
    <row r="16" spans="1:8" x14ac:dyDescent="0.3">
      <c r="A16" s="3" t="s">
        <v>515</v>
      </c>
      <c r="B16" s="3" t="s">
        <v>507</v>
      </c>
      <c r="C16" s="50">
        <f>SUM(C6:C15)</f>
        <v>775974955575.95996</v>
      </c>
      <c r="D16" s="50">
        <f>SUM(D6:D15)</f>
        <v>808020665460.85144</v>
      </c>
      <c r="E16" s="50">
        <f>SUM(E6:E15)</f>
        <v>842021483673.78052</v>
      </c>
      <c r="F16" s="50">
        <f>SUM(F6:F15)</f>
        <v>920273160714.66748</v>
      </c>
      <c r="G16" s="50">
        <f>SUM(G6:G15)</f>
        <v>998083867397.19531</v>
      </c>
    </row>
    <row r="17" spans="1:7" x14ac:dyDescent="0.3">
      <c r="A17" s="5" t="s">
        <v>516</v>
      </c>
      <c r="B17" s="5" t="s">
        <v>507</v>
      </c>
      <c r="C17" s="51">
        <f>C16-$C$16</f>
        <v>0</v>
      </c>
      <c r="D17" s="51">
        <f>D16-$C$16</f>
        <v>32045709884.891479</v>
      </c>
      <c r="E17" s="51">
        <f>E16-$C$16</f>
        <v>66046528097.820557</v>
      </c>
      <c r="F17" s="51">
        <f>F16-$C$16</f>
        <v>144298205138.70752</v>
      </c>
      <c r="G17" s="51">
        <f>G16-$C$16</f>
        <v>222108911821.23535</v>
      </c>
    </row>
    <row r="18" spans="1:7" x14ac:dyDescent="0.3">
      <c r="A18" s="5" t="s">
        <v>517</v>
      </c>
      <c r="B18" s="5" t="s">
        <v>518</v>
      </c>
      <c r="C18" s="51">
        <f>C16/annual_mwh</f>
        <v>454264.69709399366</v>
      </c>
      <c r="D18" s="51">
        <f>D16/annual_mwh</f>
        <v>473024.62560639938</v>
      </c>
      <c r="E18" s="51">
        <f>E16/annual_mwh</f>
        <v>492929.09710442601</v>
      </c>
      <c r="F18" s="51">
        <f>F16/annual_mwh</f>
        <v>538738.53220622148</v>
      </c>
      <c r="G18" s="51">
        <f>G16/annual_mwh</f>
        <v>584289.81816953246</v>
      </c>
    </row>
    <row r="20" spans="1:7" x14ac:dyDescent="0.3">
      <c r="A20" s="3" t="s">
        <v>519</v>
      </c>
    </row>
    <row r="21" spans="1:7" x14ac:dyDescent="0.3">
      <c r="A21" s="7" t="s">
        <v>520</v>
      </c>
      <c r="B21" s="7" t="s">
        <v>151</v>
      </c>
      <c r="C21" s="7" t="s">
        <v>152</v>
      </c>
      <c r="D21" s="7" t="s">
        <v>216</v>
      </c>
    </row>
    <row r="22" spans="1:7" x14ac:dyDescent="0.3">
      <c r="A22" s="5" t="s">
        <v>521</v>
      </c>
      <c r="B22" s="49">
        <v>1250</v>
      </c>
      <c r="C22" s="5" t="s">
        <v>522</v>
      </c>
      <c r="D22" s="16" t="s">
        <v>523</v>
      </c>
    </row>
    <row r="23" spans="1:7" x14ac:dyDescent="0.3">
      <c r="A23" s="5" t="s">
        <v>524</v>
      </c>
      <c r="B23" s="49">
        <v>320</v>
      </c>
      <c r="C23" s="5" t="s">
        <v>522</v>
      </c>
      <c r="D23" s="16" t="s">
        <v>525</v>
      </c>
    </row>
    <row r="24" spans="1:7" x14ac:dyDescent="0.3">
      <c r="A24" s="5" t="s">
        <v>526</v>
      </c>
      <c r="B24" s="57">
        <v>0.03</v>
      </c>
      <c r="C24" s="5" t="s">
        <v>527</v>
      </c>
      <c r="D24" s="16" t="s">
        <v>528</v>
      </c>
    </row>
    <row r="25" spans="1:7" x14ac:dyDescent="0.3">
      <c r="A25" s="5" t="s">
        <v>529</v>
      </c>
      <c r="B25" s="49">
        <v>42000</v>
      </c>
      <c r="C25" s="5" t="s">
        <v>423</v>
      </c>
      <c r="D25" s="16" t="s">
        <v>530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6"/>
  <sheetViews>
    <sheetView showGridLines="0" topLeftCell="A6" workbookViewId="0"/>
  </sheetViews>
  <sheetFormatPr defaultRowHeight="14.4" x14ac:dyDescent="0.3"/>
  <cols>
    <col min="1" max="1" width="12" customWidth="1"/>
    <col min="2" max="2" width="16" customWidth="1"/>
    <col min="3" max="6" width="20" customWidth="1"/>
    <col min="7" max="7" width="22" customWidth="1"/>
    <col min="8" max="8" width="20" customWidth="1"/>
  </cols>
  <sheetData>
    <row r="1" spans="1:8" ht="24" customHeight="1" x14ac:dyDescent="0.3">
      <c r="A1" s="1" t="s">
        <v>531</v>
      </c>
      <c r="B1" s="2"/>
      <c r="C1" s="2"/>
      <c r="D1" s="2"/>
      <c r="E1" s="2"/>
      <c r="F1" s="2"/>
      <c r="G1" s="2"/>
      <c r="H1" s="2"/>
    </row>
    <row r="3" spans="1:8" x14ac:dyDescent="0.3">
      <c r="A3" s="12" t="s">
        <v>532</v>
      </c>
    </row>
    <row r="5" spans="1:8" x14ac:dyDescent="0.3">
      <c r="A5" s="7" t="s">
        <v>533</v>
      </c>
      <c r="B5" s="7" t="s">
        <v>534</v>
      </c>
      <c r="C5" s="7" t="s">
        <v>310</v>
      </c>
      <c r="D5" s="7" t="s">
        <v>311</v>
      </c>
      <c r="E5" s="7" t="s">
        <v>312</v>
      </c>
      <c r="F5" s="7" t="s">
        <v>313</v>
      </c>
      <c r="G5" s="7" t="s">
        <v>314</v>
      </c>
    </row>
    <row r="6" spans="1:8" x14ac:dyDescent="0.3">
      <c r="A6" s="19">
        <v>0</v>
      </c>
      <c r="B6" s="15">
        <f t="shared" ref="B6:B31" si="0">1/(1+wacc)^A6</f>
        <v>1</v>
      </c>
      <c r="C6" s="51">
        <f>-CAPEX!C27</f>
        <v>0</v>
      </c>
      <c r="D6" s="51">
        <f>-CAPEX!D27</f>
        <v>-103348105261.86096</v>
      </c>
      <c r="E6" s="51">
        <f>-CAPEX!E27</f>
        <v>-167889492315.64606</v>
      </c>
      <c r="F6" s="51">
        <f>-CAPEX!F27</f>
        <v>-272737284912.8306</v>
      </c>
      <c r="G6" s="51">
        <f>-CAPEX!G27</f>
        <v>-408250000000</v>
      </c>
    </row>
    <row r="7" spans="1:8" x14ac:dyDescent="0.3">
      <c r="A7" s="19">
        <v>1</v>
      </c>
      <c r="B7" s="15">
        <f t="shared" si="0"/>
        <v>0.90909090909090906</v>
      </c>
      <c r="C7" s="51">
        <f>-OPEX!C16</f>
        <v>-775974955575.95996</v>
      </c>
      <c r="D7" s="51">
        <f>-OPEX!D16</f>
        <v>-808020665460.85144</v>
      </c>
      <c r="E7" s="51">
        <f>-OPEX!E16</f>
        <v>-842021483673.78052</v>
      </c>
      <c r="F7" s="51">
        <f>-OPEX!F16</f>
        <v>-920273160714.66748</v>
      </c>
      <c r="G7" s="51">
        <f>-OPEX!G16</f>
        <v>-998083867397.19531</v>
      </c>
    </row>
    <row r="8" spans="1:8" x14ac:dyDescent="0.3">
      <c r="A8" s="19">
        <v>2</v>
      </c>
      <c r="B8" s="15">
        <f t="shared" si="0"/>
        <v>0.82644628099173545</v>
      </c>
      <c r="C8" s="51">
        <f>-OPEX!C16</f>
        <v>-775974955575.95996</v>
      </c>
      <c r="D8" s="51">
        <f>-OPEX!D16</f>
        <v>-808020665460.85144</v>
      </c>
      <c r="E8" s="51">
        <f>-OPEX!E16</f>
        <v>-842021483673.78052</v>
      </c>
      <c r="F8" s="51">
        <f>-OPEX!F16</f>
        <v>-920273160714.66748</v>
      </c>
      <c r="G8" s="51">
        <f>-OPEX!G16</f>
        <v>-998083867397.19531</v>
      </c>
    </row>
    <row r="9" spans="1:8" x14ac:dyDescent="0.3">
      <c r="A9" s="19">
        <v>3</v>
      </c>
      <c r="B9" s="15">
        <f t="shared" si="0"/>
        <v>0.75131480090157754</v>
      </c>
      <c r="C9" s="51">
        <f>-OPEX!C16</f>
        <v>-775974955575.95996</v>
      </c>
      <c r="D9" s="51">
        <f>-OPEX!D16</f>
        <v>-808020665460.85144</v>
      </c>
      <c r="E9" s="51">
        <f>-OPEX!E16</f>
        <v>-842021483673.78052</v>
      </c>
      <c r="F9" s="51">
        <f>-OPEX!F16</f>
        <v>-920273160714.66748</v>
      </c>
      <c r="G9" s="51">
        <f>-OPEX!G16</f>
        <v>-998083867397.19531</v>
      </c>
    </row>
    <row r="10" spans="1:8" x14ac:dyDescent="0.3">
      <c r="A10" s="19">
        <v>4</v>
      </c>
      <c r="B10" s="15">
        <f t="shared" si="0"/>
        <v>0.68301345536507052</v>
      </c>
      <c r="C10" s="51">
        <f>-OPEX!C16</f>
        <v>-775974955575.95996</v>
      </c>
      <c r="D10" s="51">
        <f>-OPEX!D16</f>
        <v>-808020665460.85144</v>
      </c>
      <c r="E10" s="51">
        <f>-OPEX!E16</f>
        <v>-842021483673.78052</v>
      </c>
      <c r="F10" s="51">
        <f>-OPEX!F16</f>
        <v>-920273160714.66748</v>
      </c>
      <c r="G10" s="51">
        <f>-OPEX!G16</f>
        <v>-998083867397.19531</v>
      </c>
    </row>
    <row r="11" spans="1:8" x14ac:dyDescent="0.3">
      <c r="A11" s="19">
        <v>5</v>
      </c>
      <c r="B11" s="15">
        <f t="shared" si="0"/>
        <v>0.62092132305915493</v>
      </c>
      <c r="C11" s="51">
        <f>-OPEX!C16</f>
        <v>-775974955575.95996</v>
      </c>
      <c r="D11" s="51">
        <f>-OPEX!D16</f>
        <v>-808020665460.85144</v>
      </c>
      <c r="E11" s="51">
        <f>-OPEX!E16</f>
        <v>-842021483673.78052</v>
      </c>
      <c r="F11" s="51">
        <f>-OPEX!F16</f>
        <v>-920273160714.66748</v>
      </c>
      <c r="G11" s="51">
        <f>-OPEX!G16</f>
        <v>-998083867397.19531</v>
      </c>
    </row>
    <row r="12" spans="1:8" x14ac:dyDescent="0.3">
      <c r="A12" s="19">
        <v>6</v>
      </c>
      <c r="B12" s="15">
        <f t="shared" si="0"/>
        <v>0.56447393005377722</v>
      </c>
      <c r="C12" s="51">
        <f>-OPEX!C16</f>
        <v>-775974955575.95996</v>
      </c>
      <c r="D12" s="51">
        <f>-OPEX!D16</f>
        <v>-808020665460.85144</v>
      </c>
      <c r="E12" s="51">
        <f>-OPEX!E16</f>
        <v>-842021483673.78052</v>
      </c>
      <c r="F12" s="51">
        <f>-OPEX!F16</f>
        <v>-920273160714.66748</v>
      </c>
      <c r="G12" s="51">
        <f>-OPEX!G16</f>
        <v>-998083867397.19531</v>
      </c>
    </row>
    <row r="13" spans="1:8" x14ac:dyDescent="0.3">
      <c r="A13" s="19">
        <v>7</v>
      </c>
      <c r="B13" s="15">
        <f t="shared" si="0"/>
        <v>0.51315811823070645</v>
      </c>
      <c r="C13" s="51">
        <f>-OPEX!C16</f>
        <v>-775974955575.95996</v>
      </c>
      <c r="D13" s="51">
        <f>-OPEX!D16</f>
        <v>-808020665460.85144</v>
      </c>
      <c r="E13" s="51">
        <f>-OPEX!E16</f>
        <v>-842021483673.78052</v>
      </c>
      <c r="F13" s="51">
        <f>-OPEX!F16</f>
        <v>-920273160714.66748</v>
      </c>
      <c r="G13" s="51">
        <f>-OPEX!G16</f>
        <v>-998083867397.19531</v>
      </c>
    </row>
    <row r="14" spans="1:8" x14ac:dyDescent="0.3">
      <c r="A14" s="19">
        <v>8</v>
      </c>
      <c r="B14" s="15">
        <f t="shared" si="0"/>
        <v>0.46650738020973315</v>
      </c>
      <c r="C14" s="51">
        <f>-OPEX!C16</f>
        <v>-775974955575.95996</v>
      </c>
      <c r="D14" s="51">
        <f>-OPEX!D16</f>
        <v>-808020665460.85144</v>
      </c>
      <c r="E14" s="51">
        <f>-OPEX!E16</f>
        <v>-842021483673.78052</v>
      </c>
      <c r="F14" s="51">
        <f>-OPEX!F16</f>
        <v>-920273160714.66748</v>
      </c>
      <c r="G14" s="51">
        <f>-OPEX!G16</f>
        <v>-998083867397.19531</v>
      </c>
    </row>
    <row r="15" spans="1:8" x14ac:dyDescent="0.3">
      <c r="A15" s="19">
        <v>9</v>
      </c>
      <c r="B15" s="15">
        <f t="shared" si="0"/>
        <v>0.42409761837248466</v>
      </c>
      <c r="C15" s="51">
        <f>-OPEX!C16</f>
        <v>-775974955575.95996</v>
      </c>
      <c r="D15" s="51">
        <f>-OPEX!D16</f>
        <v>-808020665460.85144</v>
      </c>
      <c r="E15" s="51">
        <f>-OPEX!E16</f>
        <v>-842021483673.78052</v>
      </c>
      <c r="F15" s="51">
        <f>-OPEX!F16</f>
        <v>-920273160714.66748</v>
      </c>
      <c r="G15" s="51">
        <f>-OPEX!G16</f>
        <v>-998083867397.19531</v>
      </c>
    </row>
    <row r="16" spans="1:8" x14ac:dyDescent="0.3">
      <c r="A16" s="19">
        <v>10</v>
      </c>
      <c r="B16" s="15">
        <f t="shared" si="0"/>
        <v>0.38554328942953148</v>
      </c>
      <c r="C16" s="51">
        <f>-OPEX!C16</f>
        <v>-775974955575.95996</v>
      </c>
      <c r="D16" s="51">
        <f>-OPEX!D16</f>
        <v>-808020665460.85144</v>
      </c>
      <c r="E16" s="51">
        <f>-OPEX!E16</f>
        <v>-842021483673.78052</v>
      </c>
      <c r="F16" s="51">
        <f>-OPEX!F16</f>
        <v>-920273160714.66748</v>
      </c>
      <c r="G16" s="51">
        <f>-OPEX!G16</f>
        <v>-998083867397.19531</v>
      </c>
    </row>
    <row r="17" spans="1:7" x14ac:dyDescent="0.3">
      <c r="A17" s="19">
        <v>11</v>
      </c>
      <c r="B17" s="15">
        <f t="shared" si="0"/>
        <v>0.3504938994813922</v>
      </c>
      <c r="C17" s="51">
        <f>-OPEX!C16</f>
        <v>-775974955575.95996</v>
      </c>
      <c r="D17" s="51">
        <f>-OPEX!D16</f>
        <v>-808020665460.85144</v>
      </c>
      <c r="E17" s="51">
        <f>-OPEX!E16</f>
        <v>-842021483673.78052</v>
      </c>
      <c r="F17" s="51">
        <f>-OPEX!F16</f>
        <v>-920273160714.66748</v>
      </c>
      <c r="G17" s="51">
        <f>-OPEX!G16</f>
        <v>-998083867397.19531</v>
      </c>
    </row>
    <row r="18" spans="1:7" x14ac:dyDescent="0.3">
      <c r="A18" s="19">
        <v>12</v>
      </c>
      <c r="B18" s="15">
        <f t="shared" si="0"/>
        <v>0.31863081771035656</v>
      </c>
      <c r="C18" s="51">
        <f>-OPEX!C16</f>
        <v>-775974955575.95996</v>
      </c>
      <c r="D18" s="51">
        <f>-OPEX!D16</f>
        <v>-808020665460.85144</v>
      </c>
      <c r="E18" s="51">
        <f>-OPEX!E16</f>
        <v>-842021483673.78052</v>
      </c>
      <c r="F18" s="51">
        <f>-OPEX!F16</f>
        <v>-920273160714.66748</v>
      </c>
      <c r="G18" s="51">
        <f>-OPEX!G16</f>
        <v>-998083867397.19531</v>
      </c>
    </row>
    <row r="19" spans="1:7" x14ac:dyDescent="0.3">
      <c r="A19" s="19">
        <v>13</v>
      </c>
      <c r="B19" s="15">
        <f t="shared" si="0"/>
        <v>0.28966437973668779</v>
      </c>
      <c r="C19" s="51">
        <f>-OPEX!C16</f>
        <v>-775974955575.95996</v>
      </c>
      <c r="D19" s="51">
        <f>-OPEX!D16</f>
        <v>-808020665460.85144</v>
      </c>
      <c r="E19" s="51">
        <f>-OPEX!E16</f>
        <v>-842021483673.78052</v>
      </c>
      <c r="F19" s="51">
        <f>-OPEX!F16</f>
        <v>-920273160714.66748</v>
      </c>
      <c r="G19" s="51">
        <f>-OPEX!G16</f>
        <v>-998083867397.19531</v>
      </c>
    </row>
    <row r="20" spans="1:7" x14ac:dyDescent="0.3">
      <c r="A20" s="19">
        <v>14</v>
      </c>
      <c r="B20" s="15">
        <f t="shared" si="0"/>
        <v>0.26333125430607973</v>
      </c>
      <c r="C20" s="51">
        <f>-OPEX!C16</f>
        <v>-775974955575.95996</v>
      </c>
      <c r="D20" s="51">
        <f>-OPEX!D16</f>
        <v>-808020665460.85144</v>
      </c>
      <c r="E20" s="51">
        <f>-OPEX!E16</f>
        <v>-842021483673.78052</v>
      </c>
      <c r="F20" s="51">
        <f>-OPEX!F16</f>
        <v>-920273160714.66748</v>
      </c>
      <c r="G20" s="51">
        <f>-OPEX!G16</f>
        <v>-998083867397.19531</v>
      </c>
    </row>
    <row r="21" spans="1:7" x14ac:dyDescent="0.3">
      <c r="A21" s="19">
        <v>15</v>
      </c>
      <c r="B21" s="15">
        <f t="shared" si="0"/>
        <v>0.23939204936916339</v>
      </c>
      <c r="C21" s="51">
        <f>-OPEX!C16</f>
        <v>-775974955575.95996</v>
      </c>
      <c r="D21" s="51">
        <f>-OPEX!D16</f>
        <v>-808020665460.85144</v>
      </c>
      <c r="E21" s="51">
        <f>-OPEX!E16</f>
        <v>-842021483673.78052</v>
      </c>
      <c r="F21" s="51">
        <f>-OPEX!F16</f>
        <v>-920273160714.66748</v>
      </c>
      <c r="G21" s="51">
        <f>-OPEX!G16</f>
        <v>-998083867397.19531</v>
      </c>
    </row>
    <row r="22" spans="1:7" x14ac:dyDescent="0.3">
      <c r="A22" s="19">
        <v>16</v>
      </c>
      <c r="B22" s="15">
        <f t="shared" si="0"/>
        <v>0.21762913579014853</v>
      </c>
      <c r="C22" s="51">
        <f>-OPEX!C16</f>
        <v>-775974955575.95996</v>
      </c>
      <c r="D22" s="51">
        <f>-OPEX!D16</f>
        <v>-808020665460.85144</v>
      </c>
      <c r="E22" s="51">
        <f>-OPEX!E16</f>
        <v>-842021483673.78052</v>
      </c>
      <c r="F22" s="51">
        <f>-OPEX!F16</f>
        <v>-920273160714.66748</v>
      </c>
      <c r="G22" s="51">
        <f>-OPEX!G16</f>
        <v>-998083867397.19531</v>
      </c>
    </row>
    <row r="23" spans="1:7" x14ac:dyDescent="0.3">
      <c r="A23" s="19">
        <v>17</v>
      </c>
      <c r="B23" s="15">
        <f t="shared" si="0"/>
        <v>0.19784466890013502</v>
      </c>
      <c r="C23" s="51">
        <f>-OPEX!C16</f>
        <v>-775974955575.95996</v>
      </c>
      <c r="D23" s="51">
        <f>-OPEX!D16</f>
        <v>-808020665460.85144</v>
      </c>
      <c r="E23" s="51">
        <f>-OPEX!E16</f>
        <v>-842021483673.78052</v>
      </c>
      <c r="F23" s="51">
        <f>-OPEX!F16</f>
        <v>-920273160714.66748</v>
      </c>
      <c r="G23" s="51">
        <f>-OPEX!G16</f>
        <v>-998083867397.19531</v>
      </c>
    </row>
    <row r="24" spans="1:7" x14ac:dyDescent="0.3">
      <c r="A24" s="19">
        <v>18</v>
      </c>
      <c r="B24" s="15">
        <f t="shared" si="0"/>
        <v>0.17985878990921364</v>
      </c>
      <c r="C24" s="51">
        <f>-OPEX!C16</f>
        <v>-775974955575.95996</v>
      </c>
      <c r="D24" s="51">
        <f>-OPEX!D16</f>
        <v>-808020665460.85144</v>
      </c>
      <c r="E24" s="51">
        <f>-OPEX!E16</f>
        <v>-842021483673.78052</v>
      </c>
      <c r="F24" s="51">
        <f>-OPEX!F16</f>
        <v>-920273160714.66748</v>
      </c>
      <c r="G24" s="51">
        <f>-OPEX!G16</f>
        <v>-998083867397.19531</v>
      </c>
    </row>
    <row r="25" spans="1:7" x14ac:dyDescent="0.3">
      <c r="A25" s="19">
        <v>19</v>
      </c>
      <c r="B25" s="15">
        <f t="shared" si="0"/>
        <v>0.16350799082655781</v>
      </c>
      <c r="C25" s="51">
        <f>-OPEX!C16</f>
        <v>-775974955575.95996</v>
      </c>
      <c r="D25" s="51">
        <f>-OPEX!D16</f>
        <v>-808020665460.85144</v>
      </c>
      <c r="E25" s="51">
        <f>-OPEX!E16</f>
        <v>-842021483673.78052</v>
      </c>
      <c r="F25" s="51">
        <f>-OPEX!F16</f>
        <v>-920273160714.66748</v>
      </c>
      <c r="G25" s="51">
        <f>-OPEX!G16</f>
        <v>-998083867397.19531</v>
      </c>
    </row>
    <row r="26" spans="1:7" x14ac:dyDescent="0.3">
      <c r="A26" s="19">
        <v>20</v>
      </c>
      <c r="B26" s="15">
        <f t="shared" si="0"/>
        <v>0.14864362802414349</v>
      </c>
      <c r="C26" s="51">
        <f>-OPEX!C16</f>
        <v>-775974955575.95996</v>
      </c>
      <c r="D26" s="51">
        <f>-OPEX!D16</f>
        <v>-808020665460.85144</v>
      </c>
      <c r="E26" s="51">
        <f>-OPEX!E16</f>
        <v>-842021483673.78052</v>
      </c>
      <c r="F26" s="51">
        <f>-OPEX!F16</f>
        <v>-920273160714.66748</v>
      </c>
      <c r="G26" s="51">
        <f>-OPEX!G16</f>
        <v>-998083867397.19531</v>
      </c>
    </row>
    <row r="27" spans="1:7" x14ac:dyDescent="0.3">
      <c r="A27" s="19">
        <v>21</v>
      </c>
      <c r="B27" s="15">
        <f t="shared" si="0"/>
        <v>0.13513057093103953</v>
      </c>
      <c r="C27" s="51">
        <f>-OPEX!C16</f>
        <v>-775974955575.95996</v>
      </c>
      <c r="D27" s="51">
        <f>-OPEX!D16</f>
        <v>-808020665460.85144</v>
      </c>
      <c r="E27" s="51">
        <f>-OPEX!E16</f>
        <v>-842021483673.78052</v>
      </c>
      <c r="F27" s="51">
        <f>-OPEX!F16</f>
        <v>-920273160714.66748</v>
      </c>
      <c r="G27" s="51">
        <f>-OPEX!G16</f>
        <v>-998083867397.19531</v>
      </c>
    </row>
    <row r="28" spans="1:7" x14ac:dyDescent="0.3">
      <c r="A28" s="19">
        <v>22</v>
      </c>
      <c r="B28" s="15">
        <f t="shared" si="0"/>
        <v>0.12284597357367227</v>
      </c>
      <c r="C28" s="51">
        <f>-OPEX!C16</f>
        <v>-775974955575.95996</v>
      </c>
      <c r="D28" s="51">
        <f>-OPEX!D16</f>
        <v>-808020665460.85144</v>
      </c>
      <c r="E28" s="51">
        <f>-OPEX!E16</f>
        <v>-842021483673.78052</v>
      </c>
      <c r="F28" s="51">
        <f>-OPEX!F16</f>
        <v>-920273160714.66748</v>
      </c>
      <c r="G28" s="51">
        <f>-OPEX!G16</f>
        <v>-998083867397.19531</v>
      </c>
    </row>
    <row r="29" spans="1:7" x14ac:dyDescent="0.3">
      <c r="A29" s="19">
        <v>23</v>
      </c>
      <c r="B29" s="15">
        <f t="shared" si="0"/>
        <v>0.11167815779424752</v>
      </c>
      <c r="C29" s="51">
        <f>-OPEX!C16</f>
        <v>-775974955575.95996</v>
      </c>
      <c r="D29" s="51">
        <f>-OPEX!D16</f>
        <v>-808020665460.85144</v>
      </c>
      <c r="E29" s="51">
        <f>-OPEX!E16</f>
        <v>-842021483673.78052</v>
      </c>
      <c r="F29" s="51">
        <f>-OPEX!F16</f>
        <v>-920273160714.66748</v>
      </c>
      <c r="G29" s="51">
        <f>-OPEX!G16</f>
        <v>-998083867397.19531</v>
      </c>
    </row>
    <row r="30" spans="1:7" x14ac:dyDescent="0.3">
      <c r="A30" s="19">
        <v>24</v>
      </c>
      <c r="B30" s="15">
        <f t="shared" si="0"/>
        <v>0.10152559799477048</v>
      </c>
      <c r="C30" s="51">
        <f>-OPEX!C16</f>
        <v>-775974955575.95996</v>
      </c>
      <c r="D30" s="51">
        <f>-OPEX!D16</f>
        <v>-808020665460.85144</v>
      </c>
      <c r="E30" s="51">
        <f>-OPEX!E16</f>
        <v>-842021483673.78052</v>
      </c>
      <c r="F30" s="51">
        <f>-OPEX!F16</f>
        <v>-920273160714.66748</v>
      </c>
      <c r="G30" s="51">
        <f>-OPEX!G16</f>
        <v>-998083867397.19531</v>
      </c>
    </row>
    <row r="31" spans="1:7" x14ac:dyDescent="0.3">
      <c r="A31" s="19">
        <v>25</v>
      </c>
      <c r="B31" s="15">
        <f t="shared" si="0"/>
        <v>9.2295998177064048E-2</v>
      </c>
      <c r="C31" s="51">
        <f>-OPEX!C16</f>
        <v>-775974955575.95996</v>
      </c>
      <c r="D31" s="51">
        <f>-OPEX!D16</f>
        <v>-808020665460.85144</v>
      </c>
      <c r="E31" s="51">
        <f>-OPEX!E16</f>
        <v>-842021483673.78052</v>
      </c>
      <c r="F31" s="51">
        <f>-OPEX!F16</f>
        <v>-920273160714.66748</v>
      </c>
      <c r="G31" s="51">
        <f>-OPEX!G16</f>
        <v>-998083867397.19531</v>
      </c>
    </row>
    <row r="32" spans="1:7" x14ac:dyDescent="0.3">
      <c r="A32" s="3" t="s">
        <v>535</v>
      </c>
      <c r="C32" s="50">
        <f>-SUMPRODUCT($B$6:$B$31,C6:C31)</f>
        <v>7043555724906.7344</v>
      </c>
      <c r="D32" s="50">
        <f>-SUMPRODUCT($B$6:$B$31,D6:D31)</f>
        <v>7437784021206.3213</v>
      </c>
      <c r="E32" s="50">
        <f>-SUMPRODUCT($B$6:$B$31,E6:E31)</f>
        <v>7810952195831.4053</v>
      </c>
      <c r="F32" s="50">
        <f>-SUMPRODUCT($B$6:$B$31,F6:F31)</f>
        <v>8626093592422.2803</v>
      </c>
      <c r="G32" s="50">
        <f>-SUMPRODUCT($B$6:$B$31,G6:G31)</f>
        <v>9467897205913.459</v>
      </c>
    </row>
    <row r="33" spans="1:7" x14ac:dyDescent="0.3">
      <c r="A33" s="3" t="s">
        <v>536</v>
      </c>
      <c r="B33" s="5" t="s">
        <v>537</v>
      </c>
      <c r="C33" s="58">
        <f>SUMPRODUCT($B$7:$B$31,{1;1;1;1;1;1;1;1;1;1;1;1;1;1;1;1;1;1;1;1;1;1;1;1;1})*annual_mwh</f>
        <v>15505399.759139383</v>
      </c>
      <c r="D33" s="58">
        <f>SUMPRODUCT($B$7:$B$31,{1;1;1;1;1;1;1;1;1;1;1;1;1;1;1;1;1;1;1;1;1;1;1;1;1})*annual_mwh</f>
        <v>15505399.759139383</v>
      </c>
      <c r="E33" s="58">
        <f>SUMPRODUCT($B$7:$B$31,{1;1;1;1;1;1;1;1;1;1;1;1;1;1;1;1;1;1;1;1;1;1;1;1;1})*annual_mwh</f>
        <v>15505399.759139383</v>
      </c>
      <c r="F33" s="58">
        <f>SUMPRODUCT($B$7:$B$31,{1;1;1;1;1;1;1;1;1;1;1;1;1;1;1;1;1;1;1;1;1;1;1;1;1})*annual_mwh</f>
        <v>15505399.759139383</v>
      </c>
      <c r="G33" s="58">
        <f>SUMPRODUCT($B$7:$B$31,{1;1;1;1;1;1;1;1;1;1;1;1;1;1;1;1;1;1;1;1;1;1;1;1;1})*annual_mwh</f>
        <v>15505399.759139383</v>
      </c>
    </row>
    <row r="34" spans="1:7" x14ac:dyDescent="0.3">
      <c r="A34" s="3" t="s">
        <v>538</v>
      </c>
      <c r="B34" s="5" t="s">
        <v>518</v>
      </c>
      <c r="C34" s="50">
        <f>C32/C33</f>
        <v>454264.69709399366</v>
      </c>
      <c r="D34" s="50">
        <f>D32/D33</f>
        <v>479689.92330057477</v>
      </c>
      <c r="E34" s="50">
        <f>E32/E33</f>
        <v>503756.90515346936</v>
      </c>
      <c r="F34" s="50">
        <f>F32/F33</f>
        <v>556328.35827646311</v>
      </c>
      <c r="G34" s="50">
        <f>G32/G33</f>
        <v>610619.35538506671</v>
      </c>
    </row>
    <row r="36" spans="1:7" x14ac:dyDescent="0.3">
      <c r="A36" s="88" t="s">
        <v>539</v>
      </c>
      <c r="B36" s="87"/>
      <c r="C36" s="87"/>
      <c r="D36" s="87"/>
      <c r="E36" s="87"/>
      <c r="F36" s="87"/>
      <c r="G36" s="87"/>
    </row>
  </sheetData>
  <mergeCells count="1">
    <mergeCell ref="A36:G3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0"/>
  <sheetViews>
    <sheetView showGridLines="0" workbookViewId="0"/>
  </sheetViews>
  <sheetFormatPr defaultRowHeight="14.4" x14ac:dyDescent="0.3"/>
  <cols>
    <col min="1" max="1" width="44" customWidth="1"/>
    <col min="2" max="2" width="14" customWidth="1"/>
    <col min="3" max="6" width="17" customWidth="1"/>
    <col min="7" max="7" width="19" customWidth="1"/>
    <col min="8" max="8" width="40" customWidth="1"/>
  </cols>
  <sheetData>
    <row r="1" spans="1:8" ht="24" customHeight="1" x14ac:dyDescent="0.3">
      <c r="A1" s="1" t="s">
        <v>540</v>
      </c>
      <c r="B1" s="2"/>
      <c r="C1" s="2"/>
      <c r="D1" s="2"/>
      <c r="E1" s="2"/>
      <c r="F1" s="2"/>
      <c r="G1" s="2"/>
      <c r="H1" s="2"/>
    </row>
    <row r="5" spans="1:8" ht="26.4" x14ac:dyDescent="0.3">
      <c r="A5" s="7" t="s">
        <v>309</v>
      </c>
      <c r="B5" s="7" t="s">
        <v>152</v>
      </c>
      <c r="C5" s="7" t="s">
        <v>310</v>
      </c>
      <c r="D5" s="7" t="s">
        <v>311</v>
      </c>
      <c r="E5" s="7" t="s">
        <v>312</v>
      </c>
      <c r="F5" s="7" t="s">
        <v>313</v>
      </c>
      <c r="G5" s="7" t="s">
        <v>314</v>
      </c>
    </row>
    <row r="6" spans="1:8" x14ac:dyDescent="0.3">
      <c r="A6" s="5" t="s">
        <v>541</v>
      </c>
      <c r="B6" s="5" t="s">
        <v>518</v>
      </c>
      <c r="C6" s="51">
        <f>CAPEX!C27*crf/annual_mwh</f>
        <v>0</v>
      </c>
      <c r="D6" s="51">
        <f>CAPEX!D27*crf/annual_mwh</f>
        <v>6665.2976941754896</v>
      </c>
      <c r="E6" s="51">
        <f>CAPEX!E27*crf/annual_mwh</f>
        <v>10827.808049043464</v>
      </c>
      <c r="F6" s="51">
        <f>CAPEX!F27*crf/annual_mwh</f>
        <v>17589.826070241776</v>
      </c>
      <c r="G6" s="51">
        <f>CAPEX!G27*crf/annual_mwh</f>
        <v>26329.537215534485</v>
      </c>
    </row>
    <row r="7" spans="1:8" x14ac:dyDescent="0.3">
      <c r="A7" s="5" t="s">
        <v>542</v>
      </c>
      <c r="B7" s="5" t="s">
        <v>518</v>
      </c>
      <c r="C7" s="51">
        <f>OPEX!C6/annual_mwh</f>
        <v>439268.66647794377</v>
      </c>
      <c r="D7" s="51">
        <f>OPEX!D6/annual_mwh</f>
        <v>421133.72153160663</v>
      </c>
      <c r="E7" s="51">
        <f>OPEX!E6/annual_mwh</f>
        <v>403909.5787738369</v>
      </c>
      <c r="F7" s="51">
        <f>OPEX!F6/annual_mwh</f>
        <v>365826.27113620559</v>
      </c>
      <c r="G7" s="51">
        <f>OPEX!G6/annual_mwh</f>
        <v>327326.00631098391</v>
      </c>
    </row>
    <row r="8" spans="1:8" x14ac:dyDescent="0.3">
      <c r="A8" s="5" t="s">
        <v>543</v>
      </c>
      <c r="B8" s="5" t="s">
        <v>518</v>
      </c>
      <c r="C8" s="51">
        <f>OPEX!C7/annual_mwh</f>
        <v>0</v>
      </c>
      <c r="D8" s="51">
        <f>OPEX!D7/annual_mwh</f>
        <v>29082.057178555748</v>
      </c>
      <c r="E8" s="51">
        <f>OPEX!E7/annual_mwh</f>
        <v>58884.41298692095</v>
      </c>
      <c r="F8" s="51">
        <f>OPEX!F7/annual_mwh</f>
        <v>119997.88892602813</v>
      </c>
      <c r="G8" s="51">
        <f>OPEX!G7/annual_mwh</f>
        <v>184061.27801395609</v>
      </c>
    </row>
    <row r="9" spans="1:8" x14ac:dyDescent="0.3">
      <c r="A9" s="5" t="s">
        <v>544</v>
      </c>
      <c r="B9" s="5" t="s">
        <v>518</v>
      </c>
      <c r="C9" s="51">
        <f>(OPEX!C8+OPEX!C9)/annual_mwh</f>
        <v>0</v>
      </c>
      <c r="D9" s="51">
        <f>(OPEX!D8+OPEX!D9)/annual_mwh</f>
        <v>4039.1746081327419</v>
      </c>
      <c r="E9" s="51">
        <f>(OPEX!E8+OPEX!E9)/annual_mwh</f>
        <v>8178.3906926279087</v>
      </c>
      <c r="F9" s="51">
        <f>(OPEX!F8+OPEX!F9)/annual_mwh</f>
        <v>24999.560192922527</v>
      </c>
      <c r="G9" s="51">
        <f>(OPEX!G8+OPEX!G9)/annual_mwh</f>
        <v>38243.843320677537</v>
      </c>
    </row>
    <row r="10" spans="1:8" x14ac:dyDescent="0.3">
      <c r="A10" s="5" t="s">
        <v>545</v>
      </c>
      <c r="B10" s="5" t="s">
        <v>518</v>
      </c>
      <c r="C10" s="51">
        <f>(OPEX!C10+OPEX!C11+OPEX!C12)/annual_mwh</f>
        <v>14996.030616049899</v>
      </c>
      <c r="D10" s="51">
        <f>(OPEX!D10+OPEX!D11+OPEX!D12)/annual_mwh</f>
        <v>14954.825565816116</v>
      </c>
      <c r="E10" s="51">
        <f>(OPEX!E10+OPEX!E11+OPEX!E12)/annual_mwh</f>
        <v>14959.027296431186</v>
      </c>
      <c r="F10" s="51">
        <f>(OPEX!F10+OPEX!F11+OPEX!F12)/annual_mwh</f>
        <v>14873.317129962392</v>
      </c>
      <c r="G10" s="51">
        <f>(OPEX!G10+OPEX!G11+OPEX!G12)/annual_mwh</f>
        <v>14831.991108544784</v>
      </c>
    </row>
    <row r="11" spans="1:8" x14ac:dyDescent="0.3">
      <c r="A11" s="5" t="s">
        <v>546</v>
      </c>
      <c r="B11" s="5" t="s">
        <v>518</v>
      </c>
      <c r="C11" s="51">
        <f>OPEX!C13/annual_mwh</f>
        <v>0</v>
      </c>
      <c r="D11" s="51">
        <f>OPEX!D13/annual_mwh</f>
        <v>642.64883685235168</v>
      </c>
      <c r="E11" s="51">
        <f>OPEX!E13/annual_mwh</f>
        <v>1301.2146727598708</v>
      </c>
      <c r="F11" s="51">
        <f>OPEX!F13/annual_mwh</f>
        <v>2651.6866832898309</v>
      </c>
      <c r="G11" s="51">
        <f>OPEX!G13/annual_mwh</f>
        <v>4067.3452190461762</v>
      </c>
    </row>
    <row r="12" spans="1:8" x14ac:dyDescent="0.3">
      <c r="A12" s="5" t="s">
        <v>547</v>
      </c>
      <c r="B12" s="5" t="s">
        <v>518</v>
      </c>
      <c r="C12" s="51">
        <f>(OPEX!C14+OPEX!C15)/annual_mwh</f>
        <v>0</v>
      </c>
      <c r="D12" s="51">
        <f>(OPEX!D14+OPEX!D15)/annual_mwh</f>
        <v>3172.1978854358849</v>
      </c>
      <c r="E12" s="51">
        <f>(OPEX!E14+OPEX!E15)/annual_mwh</f>
        <v>5696.4726818491808</v>
      </c>
      <c r="F12" s="51">
        <f>(OPEX!F14+OPEX!F15)/annual_mwh</f>
        <v>10389.808137813006</v>
      </c>
      <c r="G12" s="51">
        <f>(OPEX!G14+OPEX!G15)/annual_mwh</f>
        <v>15759.354196323922</v>
      </c>
    </row>
    <row r="13" spans="1:8" x14ac:dyDescent="0.3">
      <c r="A13" s="3" t="s">
        <v>548</v>
      </c>
      <c r="B13" s="3" t="s">
        <v>518</v>
      </c>
      <c r="C13" s="50">
        <f>SUM(C6:C12)</f>
        <v>454264.69709399366</v>
      </c>
      <c r="D13" s="50">
        <f>SUM(D6:D12)</f>
        <v>479689.923300575</v>
      </c>
      <c r="E13" s="50">
        <f>SUM(E6:E12)</f>
        <v>503756.90515346953</v>
      </c>
      <c r="F13" s="50">
        <f>SUM(F6:F12)</f>
        <v>556328.35827646323</v>
      </c>
      <c r="G13" s="50">
        <f>SUM(G6:G12)</f>
        <v>610619.35538506682</v>
      </c>
    </row>
    <row r="14" spans="1:8" x14ac:dyDescent="0.3">
      <c r="A14" s="5" t="s">
        <v>549</v>
      </c>
      <c r="B14" s="5" t="s">
        <v>518</v>
      </c>
      <c r="C14" s="59">
        <f>'CASH FLOW'!C34</f>
        <v>454264.69709399366</v>
      </c>
      <c r="D14" s="59">
        <f>'CASH FLOW'!D34</f>
        <v>479689.92330057477</v>
      </c>
      <c r="E14" s="59">
        <f>'CASH FLOW'!E34</f>
        <v>503756.90515346936</v>
      </c>
      <c r="F14" s="59">
        <f>'CASH FLOW'!F34</f>
        <v>556328.35827646311</v>
      </c>
      <c r="G14" s="59">
        <f>'CASH FLOW'!G34</f>
        <v>610619.35538506671</v>
      </c>
    </row>
    <row r="15" spans="1:8" x14ac:dyDescent="0.3">
      <c r="A15" s="5" t="s">
        <v>550</v>
      </c>
      <c r="B15" s="5" t="s">
        <v>452</v>
      </c>
      <c r="C15" s="60">
        <f>C13/1000</f>
        <v>454.26469709399368</v>
      </c>
      <c r="D15" s="60">
        <f>D13/1000</f>
        <v>479.689923300575</v>
      </c>
      <c r="E15" s="60">
        <f>E13/1000</f>
        <v>503.75690515346952</v>
      </c>
      <c r="F15" s="60">
        <f>F13/1000</f>
        <v>556.32835827646318</v>
      </c>
      <c r="G15" s="60">
        <f>G13/1000</f>
        <v>610.6193553850668</v>
      </c>
    </row>
    <row r="16" spans="1:8" x14ac:dyDescent="0.3">
      <c r="A16" s="5" t="s">
        <v>551</v>
      </c>
      <c r="B16" s="5" t="s">
        <v>552</v>
      </c>
      <c r="C16" s="61">
        <f>C13/fx</f>
        <v>27.868999821717402</v>
      </c>
      <c r="D16" s="61">
        <f>D13/fx</f>
        <v>29.428829650342024</v>
      </c>
      <c r="E16" s="61">
        <f>E13/fx</f>
        <v>30.905331604507332</v>
      </c>
      <c r="F16" s="61">
        <f>F13/fx</f>
        <v>34.130574127390382</v>
      </c>
      <c r="G16" s="61">
        <f>G13/fx</f>
        <v>37.461310146323115</v>
      </c>
    </row>
    <row r="17" spans="1:7" x14ac:dyDescent="0.3">
      <c r="A17" s="3" t="s">
        <v>553</v>
      </c>
      <c r="B17" s="3" t="s">
        <v>518</v>
      </c>
      <c r="C17" s="50">
        <f>C13-$C$13</f>
        <v>0</v>
      </c>
      <c r="D17" s="50">
        <f>D13-$C$13</f>
        <v>25425.226206581341</v>
      </c>
      <c r="E17" s="50">
        <f>E13-$C$13</f>
        <v>49492.208059475874</v>
      </c>
      <c r="F17" s="50">
        <f>F13-$C$13</f>
        <v>102063.66118246957</v>
      </c>
      <c r="G17" s="50">
        <f>G13-$C$13</f>
        <v>156354.65829107317</v>
      </c>
    </row>
    <row r="18" spans="1:7" x14ac:dyDescent="0.3">
      <c r="A18" s="5" t="s">
        <v>553</v>
      </c>
      <c r="B18" s="5" t="s">
        <v>316</v>
      </c>
      <c r="C18" s="45">
        <f>C17/$C$13</f>
        <v>0</v>
      </c>
      <c r="D18" s="45">
        <f>D17/$C$13</f>
        <v>5.59700684848079E-2</v>
      </c>
      <c r="E18" s="45">
        <f>E17/$C$13</f>
        <v>0.10895015257863028</v>
      </c>
      <c r="F18" s="45">
        <f>F17/$C$13</f>
        <v>0.2246788311647101</v>
      </c>
      <c r="G18" s="45">
        <f>G17/$C$13</f>
        <v>0.34419284459325095</v>
      </c>
    </row>
    <row r="20" spans="1:7" x14ac:dyDescent="0.3">
      <c r="A20" s="88" t="s">
        <v>554</v>
      </c>
      <c r="B20" s="87"/>
      <c r="C20" s="87"/>
      <c r="D20" s="87"/>
      <c r="E20" s="87"/>
      <c r="F20" s="87"/>
      <c r="G20" s="87"/>
    </row>
  </sheetData>
  <mergeCells count="1">
    <mergeCell ref="A20:G20"/>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4"/>
  <sheetViews>
    <sheetView showGridLines="0" topLeftCell="A8" workbookViewId="0"/>
  </sheetViews>
  <sheetFormatPr defaultRowHeight="14.4" x14ac:dyDescent="0.3"/>
  <cols>
    <col min="1" max="1" width="46" customWidth="1"/>
    <col min="2" max="2" width="14" customWidth="1"/>
    <col min="3" max="6" width="17" customWidth="1"/>
    <col min="7" max="7" width="19" customWidth="1"/>
    <col min="8" max="8" width="40" customWidth="1"/>
  </cols>
  <sheetData>
    <row r="1" spans="1:8" ht="24" customHeight="1" x14ac:dyDescent="0.3">
      <c r="A1" s="1" t="s">
        <v>555</v>
      </c>
      <c r="B1" s="2"/>
      <c r="C1" s="2"/>
      <c r="D1" s="2"/>
      <c r="E1" s="2"/>
      <c r="F1" s="2"/>
      <c r="G1" s="2"/>
      <c r="H1" s="2"/>
    </row>
    <row r="5" spans="1:8" ht="26.4" x14ac:dyDescent="0.3">
      <c r="A5" s="7" t="s">
        <v>309</v>
      </c>
      <c r="B5" s="7" t="s">
        <v>152</v>
      </c>
      <c r="C5" s="7" t="s">
        <v>310</v>
      </c>
      <c r="D5" s="7" t="s">
        <v>311</v>
      </c>
      <c r="E5" s="7" t="s">
        <v>312</v>
      </c>
      <c r="F5" s="7" t="s">
        <v>313</v>
      </c>
      <c r="G5" s="7" t="s">
        <v>314</v>
      </c>
    </row>
    <row r="6" spans="1:8" x14ac:dyDescent="0.3">
      <c r="A6" s="5" t="s">
        <v>556</v>
      </c>
      <c r="B6" s="5" t="s">
        <v>557</v>
      </c>
      <c r="C6" s="62">
        <f>'IMPACT ASSESSMENT'!C9</f>
        <v>1114.4344827864275</v>
      </c>
      <c r="D6" s="62">
        <f>'IMPACT ASSESSMENT'!D9</f>
        <v>1071.6664980200449</v>
      </c>
      <c r="E6" s="62">
        <f>'IMPACT ASSESSMENT'!E9</f>
        <v>1031.2895058377349</v>
      </c>
      <c r="F6" s="62">
        <f>'IMPACT ASSESSMENT'!F9</f>
        <v>942.49483428142526</v>
      </c>
      <c r="G6" s="62">
        <f>'IMPACT ASSESSMENT'!G9</f>
        <v>853.13680181020277</v>
      </c>
    </row>
    <row r="7" spans="1:8" x14ac:dyDescent="0.3">
      <c r="A7" s="5" t="s">
        <v>558</v>
      </c>
      <c r="B7" s="5" t="s">
        <v>557</v>
      </c>
      <c r="C7" s="31">
        <f>$C$6-C6</f>
        <v>0</v>
      </c>
      <c r="D7" s="31">
        <f>$C$6-D6</f>
        <v>42.767984766382597</v>
      </c>
      <c r="E7" s="31">
        <f>$C$6-E6</f>
        <v>83.144976948692602</v>
      </c>
      <c r="F7" s="31">
        <f>$C$6-F6</f>
        <v>171.9396485050022</v>
      </c>
      <c r="G7" s="31">
        <f>$C$6-G6</f>
        <v>261.29768097622468</v>
      </c>
    </row>
    <row r="8" spans="1:8" x14ac:dyDescent="0.3">
      <c r="A8" s="5" t="s">
        <v>559</v>
      </c>
      <c r="B8" s="5" t="s">
        <v>560</v>
      </c>
      <c r="C8" s="48">
        <f>C7*annual_mwh/1000</f>
        <v>0</v>
      </c>
      <c r="D8" s="48">
        <f>D7*annual_mwh/1000</f>
        <v>73056.271577934764</v>
      </c>
      <c r="E8" s="48">
        <f>E7*annual_mwh/1000</f>
        <v>142028.24962375671</v>
      </c>
      <c r="F8" s="48">
        <f>F7*annual_mwh/1000</f>
        <v>293707.30757624476</v>
      </c>
      <c r="G8" s="48">
        <f>G7*annual_mwh/1000</f>
        <v>446348.69864358701</v>
      </c>
    </row>
    <row r="9" spans="1:8" x14ac:dyDescent="0.3">
      <c r="A9" s="5" t="s">
        <v>561</v>
      </c>
      <c r="B9" s="5" t="s">
        <v>518</v>
      </c>
      <c r="C9" s="59">
        <f>LCOE!C17</f>
        <v>0</v>
      </c>
      <c r="D9" s="59">
        <f>LCOE!D17</f>
        <v>25425.226206581341</v>
      </c>
      <c r="E9" s="59">
        <f>LCOE!E17</f>
        <v>49492.208059475874</v>
      </c>
      <c r="F9" s="59">
        <f>LCOE!F17</f>
        <v>102063.66118246957</v>
      </c>
      <c r="G9" s="59">
        <f>LCOE!G17</f>
        <v>156354.65829107317</v>
      </c>
    </row>
    <row r="10" spans="1:8" x14ac:dyDescent="0.3">
      <c r="A10" s="3" t="s">
        <v>562</v>
      </c>
      <c r="B10" s="3" t="s">
        <v>563</v>
      </c>
      <c r="C10" s="63" t="str">
        <f>IF(C7=0,"-",C9/C7)</f>
        <v>-</v>
      </c>
      <c r="D10" s="63">
        <f>IF(D7=0,"-",D9/D7)</f>
        <v>594.4920328948167</v>
      </c>
      <c r="E10" s="63">
        <f>IF(E7=0,"-",E9/E7)</f>
        <v>595.25193073319031</v>
      </c>
      <c r="F10" s="63">
        <f>IF(F7=0,"-",F9/F7)</f>
        <v>593.60166238504473</v>
      </c>
      <c r="G10" s="63">
        <f>IF(G7=0,"-",G9/G7)</f>
        <v>598.37751987282195</v>
      </c>
    </row>
    <row r="11" spans="1:8" x14ac:dyDescent="0.3">
      <c r="A11" s="3" t="s">
        <v>562</v>
      </c>
      <c r="B11" s="3" t="s">
        <v>432</v>
      </c>
      <c r="C11" s="50" t="str">
        <f>IF(C7=0,"-",C9/C7*1000)</f>
        <v>-</v>
      </c>
      <c r="D11" s="50">
        <f>IF(D7=0,"-",D9/D7*1000)</f>
        <v>594492.03289481672</v>
      </c>
      <c r="E11" s="50">
        <f>IF(E7=0,"-",E9/E7*1000)</f>
        <v>595251.93073319027</v>
      </c>
      <c r="F11" s="50">
        <f>IF(F7=0,"-",F9/F7*1000)</f>
        <v>593601.66238504474</v>
      </c>
      <c r="G11" s="50">
        <f>IF(G7=0,"-",G9/G7*1000)</f>
        <v>598377.51987282198</v>
      </c>
    </row>
    <row r="12" spans="1:8" x14ac:dyDescent="0.3">
      <c r="A12" s="3" t="s">
        <v>562</v>
      </c>
      <c r="B12" s="3" t="s">
        <v>564</v>
      </c>
      <c r="C12" s="64" t="str">
        <f>IF(C7=0,"-",C11/fx)</f>
        <v>-</v>
      </c>
      <c r="D12" s="64">
        <f>IF(D7=0,"-",D11/fx)</f>
        <v>36.471903858577711</v>
      </c>
      <c r="E12" s="64">
        <f>IF(E7=0,"-",E11/fx)</f>
        <v>36.518523357864431</v>
      </c>
      <c r="F12" s="64">
        <f>IF(F7=0,"-",F11/fx)</f>
        <v>36.417279900922992</v>
      </c>
      <c r="G12" s="64">
        <f>IF(G7=0,"-",G11/fx)</f>
        <v>36.710277292811163</v>
      </c>
    </row>
    <row r="13" spans="1:8" x14ac:dyDescent="0.3">
      <c r="A13" s="5" t="s">
        <v>565</v>
      </c>
      <c r="B13" s="5" t="s">
        <v>518</v>
      </c>
      <c r="C13" s="51">
        <f>C7/1000*carbon_price</f>
        <v>0</v>
      </c>
      <c r="D13" s="51">
        <f>D7/1000*carbon_price</f>
        <v>2566.0790859829558</v>
      </c>
      <c r="E13" s="51">
        <f>E7/1000*carbon_price</f>
        <v>4988.6986169215561</v>
      </c>
      <c r="F13" s="51">
        <f>F7/1000*carbon_price</f>
        <v>10316.378910300133</v>
      </c>
      <c r="G13" s="51">
        <f>G7/1000*carbon_price</f>
        <v>15677.860858573482</v>
      </c>
    </row>
    <row r="14" spans="1:8" x14ac:dyDescent="0.3">
      <c r="A14" s="3" t="s">
        <v>566</v>
      </c>
      <c r="B14" s="3" t="s">
        <v>518</v>
      </c>
      <c r="C14" s="50">
        <f>C9-C13</f>
        <v>0</v>
      </c>
      <c r="D14" s="50">
        <f>D9-D13</f>
        <v>22859.147120598383</v>
      </c>
      <c r="E14" s="50">
        <f>E9-E13</f>
        <v>44503.509442554321</v>
      </c>
      <c r="F14" s="50">
        <f>F9-F13</f>
        <v>91747.282272169439</v>
      </c>
      <c r="G14" s="50">
        <f>G9-G13</f>
        <v>140676.79743249968</v>
      </c>
    </row>
    <row r="15" spans="1:8" x14ac:dyDescent="0.3">
      <c r="A15" s="5" t="s">
        <v>567</v>
      </c>
      <c r="B15" s="5" t="s">
        <v>432</v>
      </c>
      <c r="C15" s="51" t="str">
        <f>IF(C7=0,"-",C11)</f>
        <v>-</v>
      </c>
      <c r="D15" s="51">
        <f>IF(D7=0,"-",D11)</f>
        <v>594492.03289481672</v>
      </c>
      <c r="E15" s="51">
        <f>IF(E7=0,"-",E11)</f>
        <v>595251.93073319027</v>
      </c>
      <c r="F15" s="51">
        <f>IF(F7=0,"-",F11)</f>
        <v>593601.66238504474</v>
      </c>
      <c r="G15" s="51">
        <f>IF(G7=0,"-",G11)</f>
        <v>598377.51987282198</v>
      </c>
    </row>
    <row r="17" spans="1:7" x14ac:dyDescent="0.3">
      <c r="A17" s="4" t="s">
        <v>568</v>
      </c>
    </row>
    <row r="18" spans="1:7" ht="26.4" x14ac:dyDescent="0.3">
      <c r="A18" s="7" t="s">
        <v>309</v>
      </c>
      <c r="B18" s="7" t="s">
        <v>152</v>
      </c>
      <c r="C18" s="7" t="s">
        <v>310</v>
      </c>
      <c r="D18" s="7" t="s">
        <v>311</v>
      </c>
      <c r="E18" s="7" t="s">
        <v>312</v>
      </c>
      <c r="F18" s="7" t="s">
        <v>313</v>
      </c>
      <c r="G18" s="7" t="s">
        <v>314</v>
      </c>
    </row>
    <row r="19" spans="1:7" x14ac:dyDescent="0.3">
      <c r="A19" s="5" t="s">
        <v>569</v>
      </c>
      <c r="B19" s="5" t="s">
        <v>570</v>
      </c>
      <c r="C19" s="65">
        <f>INVENTORY!C17/1000</f>
        <v>0</v>
      </c>
      <c r="D19" s="65">
        <f>INVENTORY!D17/1000</f>
        <v>3.231339686506194E-2</v>
      </c>
      <c r="E19" s="65">
        <f>INVENTORY!E17/1000</f>
        <v>6.542712554102327E-2</v>
      </c>
      <c r="F19" s="65">
        <f>INVENTORY!F17/1000</f>
        <v>0.13333098769558682</v>
      </c>
      <c r="G19" s="65">
        <f>INVENTORY!G17/1000</f>
        <v>0.20451253112661785</v>
      </c>
    </row>
    <row r="20" spans="1:7" x14ac:dyDescent="0.3">
      <c r="A20" s="5" t="s">
        <v>571</v>
      </c>
      <c r="B20" s="5" t="s">
        <v>518</v>
      </c>
      <c r="C20" s="51">
        <f>(C9)-(LCOE!C8-0)-(LCOE!C7-LCOE!$C$7)</f>
        <v>0</v>
      </c>
      <c r="D20" s="51">
        <f>(D9)-(LCOE!D8-0)-(LCOE!D7-LCOE!$C$7)</f>
        <v>14478.113974362735</v>
      </c>
      <c r="E20" s="51">
        <f>(E9)-(LCOE!E8-0)-(LCOE!E7-LCOE!$C$7)</f>
        <v>25966.882776661798</v>
      </c>
      <c r="F20" s="51">
        <f>(F9)-(LCOE!F8-0)-(LCOE!F7-LCOE!$C$7)</f>
        <v>55508.167598179629</v>
      </c>
      <c r="G20" s="51">
        <f>(G9)-(LCOE!G8-0)-(LCOE!G7-LCOE!$C$7)</f>
        <v>84236.040444076934</v>
      </c>
    </row>
    <row r="21" spans="1:7" x14ac:dyDescent="0.3">
      <c r="A21" s="3" t="s">
        <v>572</v>
      </c>
      <c r="B21" s="3" t="s">
        <v>423</v>
      </c>
      <c r="C21" s="50" t="str">
        <f>IF(C19=0,"-",-C20/C19)</f>
        <v>-</v>
      </c>
      <c r="D21" s="50">
        <f>IF(D19=0,"-",-D20/D19)</f>
        <v>-448052.98665510584</v>
      </c>
      <c r="E21" s="50">
        <f>IF(E19=0,"-",-E20/E19)</f>
        <v>-396882.52482344466</v>
      </c>
      <c r="F21" s="50">
        <f>IF(F19=0,"-",-F20/F19)</f>
        <v>-416318.58098068315</v>
      </c>
      <c r="G21" s="50">
        <f>IF(G19=0,"-",-G20/G19)</f>
        <v>-411886.93905472569</v>
      </c>
    </row>
    <row r="22" spans="1:7" x14ac:dyDescent="0.3">
      <c r="A22" s="5" t="s">
        <v>573</v>
      </c>
      <c r="B22" s="5" t="s">
        <v>423</v>
      </c>
      <c r="C22" s="51" t="str">
        <f>IF(C19=0,"-",C21-pks_price)</f>
        <v>-</v>
      </c>
      <c r="D22" s="51">
        <f>IF(D19=0,"-",D21-pks_price)</f>
        <v>-1348052.9866551058</v>
      </c>
      <c r="E22" s="51">
        <f>IF(E19=0,"-",E21-pks_price)</f>
        <v>-1296882.5248234447</v>
      </c>
      <c r="F22" s="51">
        <f>IF(F19=0,"-",F21-pks_price)</f>
        <v>-1316318.5809806832</v>
      </c>
      <c r="G22" s="51">
        <f>IF(G19=0,"-",G21-pks_price)</f>
        <v>-1311886.9390547257</v>
      </c>
    </row>
    <row r="24" spans="1:7" x14ac:dyDescent="0.3">
      <c r="A24" s="88" t="s">
        <v>574</v>
      </c>
      <c r="B24" s="87"/>
      <c r="C24" s="87"/>
      <c r="D24" s="87"/>
      <c r="E24" s="87"/>
      <c r="F24" s="87"/>
      <c r="G24" s="87"/>
    </row>
  </sheetData>
  <mergeCells count="1">
    <mergeCell ref="A24:G2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1"/>
  <sheetViews>
    <sheetView showGridLines="0" workbookViewId="0"/>
  </sheetViews>
  <sheetFormatPr defaultRowHeight="14.4" x14ac:dyDescent="0.3"/>
  <cols>
    <col min="1" max="1" width="40" customWidth="1"/>
    <col min="2" max="2" width="16" customWidth="1"/>
    <col min="3" max="8" width="18" customWidth="1"/>
  </cols>
  <sheetData>
    <row r="1" spans="1:8" ht="24" customHeight="1" x14ac:dyDescent="0.3">
      <c r="A1" s="1" t="s">
        <v>575</v>
      </c>
      <c r="B1" s="2"/>
      <c r="C1" s="2"/>
      <c r="D1" s="2"/>
      <c r="E1" s="2"/>
      <c r="F1" s="2"/>
      <c r="G1" s="2"/>
      <c r="H1" s="2"/>
    </row>
    <row r="2" spans="1:8" x14ac:dyDescent="0.3">
      <c r="A2" s="24" t="s">
        <v>576</v>
      </c>
    </row>
    <row r="5" spans="1:8" x14ac:dyDescent="0.3">
      <c r="A5" s="4" t="s">
        <v>577</v>
      </c>
    </row>
    <row r="6" spans="1:8" x14ac:dyDescent="0.3">
      <c r="A6" s="7" t="s">
        <v>578</v>
      </c>
      <c r="B6" s="7" t="s">
        <v>579</v>
      </c>
      <c r="C6" s="7" t="s">
        <v>580</v>
      </c>
      <c r="D6" s="7" t="s">
        <v>581</v>
      </c>
      <c r="E6" s="7" t="s">
        <v>582</v>
      </c>
      <c r="F6" s="7" t="s">
        <v>583</v>
      </c>
      <c r="G6" s="7" t="s">
        <v>584</v>
      </c>
    </row>
    <row r="7" spans="1:8" x14ac:dyDescent="0.3">
      <c r="A7" s="5" t="s">
        <v>585</v>
      </c>
      <c r="B7" s="48">
        <f>pks_price</f>
        <v>900000</v>
      </c>
      <c r="C7" s="66">
        <v>750000</v>
      </c>
      <c r="D7" s="66">
        <v>1200000</v>
      </c>
      <c r="E7" s="51">
        <f>'ABATEMENT COST'!$G$11+(C7-$B7)*'ABATEMENT COST'!$G$19*1000/'ABATEMENT COST'!$G$7</f>
        <v>480975.4841778173</v>
      </c>
      <c r="F7" s="51">
        <f>'ABATEMENT COST'!$G$11+(D7-$B7)*'ABATEMENT COST'!$G$19*1000/'ABATEMENT COST'!$G$7</f>
        <v>833181.59126283135</v>
      </c>
      <c r="G7" s="51">
        <f t="shared" ref="G7:G13" si="0">ABS(F7-E7)</f>
        <v>352206.10708501405</v>
      </c>
    </row>
    <row r="8" spans="1:8" x14ac:dyDescent="0.3">
      <c r="A8" s="5" t="s">
        <v>586</v>
      </c>
      <c r="B8" s="48">
        <f>coal_price</f>
        <v>750000</v>
      </c>
      <c r="C8" s="66">
        <v>600000</v>
      </c>
      <c r="D8" s="66">
        <v>950000</v>
      </c>
      <c r="E8" s="51">
        <f>'ABATEMENT COST'!$G$11-($B8-C8)*(INVENTORY!$C$16-INVENTORY!$G$16)/1000*1000/'ABATEMENT COST'!$G$7</f>
        <v>512695.42751843523</v>
      </c>
      <c r="F8" s="51">
        <f>'ABATEMENT COST'!$G$11-($B8-D8)*(INVENTORY!$C$16-INVENTORY!$G$16)/1000*1000/'ABATEMENT COST'!$G$7</f>
        <v>712620.30967867107</v>
      </c>
      <c r="G8" s="51">
        <f t="shared" si="0"/>
        <v>199924.88216023584</v>
      </c>
    </row>
    <row r="9" spans="1:8" x14ac:dyDescent="0.3">
      <c r="A9" s="5" t="s">
        <v>587</v>
      </c>
      <c r="B9" s="15">
        <v>1</v>
      </c>
      <c r="C9" s="44">
        <v>0.7</v>
      </c>
      <c r="D9" s="44">
        <v>1.4</v>
      </c>
      <c r="E9" s="51">
        <f>'ABATEMENT COST'!$G$11+(C9-$B9)*CAPEX!$G$27*crf/annual_mwh*1000/'ABATEMENT COST'!$G$7</f>
        <v>568148.16178916162</v>
      </c>
      <c r="F9" s="51">
        <f>'ABATEMENT COST'!$G$11+(D9-$B9)*CAPEX!$G$27*crf/annual_mwh*1000/'ABATEMENT COST'!$G$7</f>
        <v>638683.33065103577</v>
      </c>
      <c r="G9" s="51">
        <f t="shared" si="0"/>
        <v>70535.168861874146</v>
      </c>
    </row>
    <row r="10" spans="1:8" x14ac:dyDescent="0.3">
      <c r="A10" s="5" t="s">
        <v>588</v>
      </c>
      <c r="B10" s="48">
        <f>wacc</f>
        <v>0.1</v>
      </c>
      <c r="C10" s="44">
        <v>7.0000000000000007E-2</v>
      </c>
      <c r="D10" s="44">
        <v>0.14000000000000001</v>
      </c>
      <c r="E10" s="51">
        <f>'ABATEMENT COST'!$G$11+((C10*(1+C10)^life/((1+C10)^life-1))-crf)*CAPEX!$G$27/annual_mwh*1000/'ABATEMENT COST'!$G$7</f>
        <v>576099.03704883682</v>
      </c>
      <c r="F10" s="51">
        <f>'ABATEMENT COST'!$G$11+((D10*(1+D10)^life/((1+D10)^life-1))-crf)*CAPEX!$G$27/annual_mwh*1000/'ABATEMENT COST'!$G$7</f>
        <v>630692.18688683165</v>
      </c>
      <c r="G10" s="51">
        <f t="shared" si="0"/>
        <v>54593.149837994832</v>
      </c>
    </row>
    <row r="11" spans="1:8" x14ac:dyDescent="0.3">
      <c r="A11" s="5" t="s">
        <v>442</v>
      </c>
      <c r="B11" s="48">
        <f>cap_factor</f>
        <v>0.65</v>
      </c>
      <c r="C11" s="44">
        <v>0.5</v>
      </c>
      <c r="D11" s="44">
        <v>0.8</v>
      </c>
      <c r="E11" s="51">
        <f>'ABATEMENT COST'!$G$11+(CAPEX!$G$27*crf/(cap_mw*8760*C11)-CAPEX!$G$27*crf/annual_mwh)*1000/'ABATEMENT COST'!$G$7</f>
        <v>628606.87795648235</v>
      </c>
      <c r="F11" s="51">
        <f>'ABATEMENT COST'!$G$11+(CAPEX!$G$27*crf/(cap_mw*8760*D11)-CAPEX!$G$27*crf/annual_mwh)*1000/'ABATEMENT COST'!$G$7</f>
        <v>579484.17107053427</v>
      </c>
      <c r="G11" s="51">
        <f t="shared" si="0"/>
        <v>49122.706885948079</v>
      </c>
    </row>
    <row r="12" spans="1:8" x14ac:dyDescent="0.3">
      <c r="A12" s="5" t="s">
        <v>589</v>
      </c>
      <c r="B12" s="15">
        <v>2</v>
      </c>
      <c r="C12" s="44">
        <v>1</v>
      </c>
      <c r="D12" s="44">
        <v>3.5</v>
      </c>
      <c r="E12" s="51">
        <f>'ABATEMENT COST'!$G$11*$B12/C12*0+'ABATEMENT COST'!$G$11*(1+(C12-$B12)*0.09)</f>
        <v>544523.54308426799</v>
      </c>
      <c r="F12" s="51">
        <f>'ABATEMENT COST'!$G$11*(1+(D12-$B12)*0.09)</f>
        <v>679158.48505565291</v>
      </c>
      <c r="G12" s="51">
        <f t="shared" si="0"/>
        <v>134634.94197138492</v>
      </c>
    </row>
    <row r="13" spans="1:8" x14ac:dyDescent="0.3">
      <c r="A13" s="5" t="s">
        <v>590</v>
      </c>
      <c r="B13" s="48">
        <f>barge_tariff</f>
        <v>320</v>
      </c>
      <c r="C13" s="66">
        <v>220</v>
      </c>
      <c r="D13" s="66">
        <v>480</v>
      </c>
      <c r="E13" s="51">
        <f>'ABATEMENT COST'!$G$11+(C13-$B13)*INVENTORY!$G$28*1000/'ABATEMENT COST'!$G$7</f>
        <v>570983.71154398751</v>
      </c>
      <c r="F13" s="51">
        <f>'ABATEMENT COST'!$G$11+(D13-$B13)*INVENTORY!$G$28*1000/'ABATEMENT COST'!$G$7</f>
        <v>642207.61319895706</v>
      </c>
      <c r="G13" s="51">
        <f t="shared" si="0"/>
        <v>71223.901654969552</v>
      </c>
    </row>
    <row r="14" spans="1:8" x14ac:dyDescent="0.3">
      <c r="A14" s="3" t="s">
        <v>591</v>
      </c>
      <c r="B14" s="50">
        <f>'ABATEMENT COST'!$G$11</f>
        <v>598377.51987282198</v>
      </c>
      <c r="C14" s="5" t="s">
        <v>432</v>
      </c>
    </row>
    <row r="17" spans="1:7" x14ac:dyDescent="0.3">
      <c r="A17" s="4" t="s">
        <v>592</v>
      </c>
    </row>
    <row r="18" spans="1:7" x14ac:dyDescent="0.3">
      <c r="A18" s="12" t="s">
        <v>593</v>
      </c>
    </row>
    <row r="19" spans="1:7" x14ac:dyDescent="0.3">
      <c r="A19" s="3" t="s">
        <v>594</v>
      </c>
      <c r="B19" s="67">
        <v>600000</v>
      </c>
      <c r="C19" s="67">
        <v>675000</v>
      </c>
      <c r="D19" s="67">
        <v>750000</v>
      </c>
      <c r="E19" s="67">
        <v>850000</v>
      </c>
      <c r="F19" s="67">
        <v>950000</v>
      </c>
    </row>
    <row r="20" spans="1:7" x14ac:dyDescent="0.3">
      <c r="A20" s="67">
        <v>700000</v>
      </c>
      <c r="B20" s="51">
        <f>'ABATEMENT COST'!$G$11+($A20-pks_price)*'ABATEMENT COST'!$G$19*1000/'ABATEMENT COST'!$G$7-(B$19-coal_price)*(INVENTORY!$C$16-INVENTORY!$G$16)/1000*1000/'ABATEMENT COST'!$G$7</f>
        <v>527523.56463386922</v>
      </c>
      <c r="C20" s="51">
        <f>'ABATEMENT COST'!$G$11+($A20-pks_price)*'ABATEMENT COST'!$G$19*1000/'ABATEMENT COST'!$G$7-(C$19-coal_price)*(INVENTORY!$C$16-INVENTORY!$G$16)/1000*1000/'ABATEMENT COST'!$G$7</f>
        <v>484682.51845667581</v>
      </c>
      <c r="D20" s="51">
        <f>'ABATEMENT COST'!$G$11+($A20-pks_price)*'ABATEMENT COST'!$G$19*1000/'ABATEMENT COST'!$G$7-(D$19-coal_price)*(INVENTORY!$C$16-INVENTORY!$G$16)/1000*1000/'ABATEMENT COST'!$G$7</f>
        <v>441841.4722794824</v>
      </c>
      <c r="E20" s="51">
        <f>'ABATEMENT COST'!$G$11+($A20-pks_price)*'ABATEMENT COST'!$G$19*1000/'ABATEMENT COST'!$G$7-(E$19-coal_price)*(INVENTORY!$C$16-INVENTORY!$G$16)/1000*1000/'ABATEMENT COST'!$G$7</f>
        <v>384720.07737655786</v>
      </c>
      <c r="F20" s="51">
        <f>'ABATEMENT COST'!$G$11+($A20-pks_price)*'ABATEMENT COST'!$G$19*1000/'ABATEMENT COST'!$G$7-(F$19-coal_price)*(INVENTORY!$C$16-INVENTORY!$G$16)/1000*1000/'ABATEMENT COST'!$G$7</f>
        <v>327598.68247363338</v>
      </c>
    </row>
    <row r="21" spans="1:7" x14ac:dyDescent="0.3">
      <c r="A21" s="67">
        <v>800000</v>
      </c>
      <c r="B21" s="51">
        <f>'ABATEMENT COST'!$G$11+($A21-pks_price)*'ABATEMENT COST'!$G$19*1000/'ABATEMENT COST'!$G$7-(B$19-coal_price)*(INVENTORY!$C$16-INVENTORY!$G$16)/1000*1000/'ABATEMENT COST'!$G$7</f>
        <v>605791.58843053901</v>
      </c>
      <c r="C21" s="51">
        <f>'ABATEMENT COST'!$G$11+($A21-pks_price)*'ABATEMENT COST'!$G$19*1000/'ABATEMENT COST'!$G$7-(C$19-coal_price)*(INVENTORY!$C$16-INVENTORY!$G$16)/1000*1000/'ABATEMENT COST'!$G$7</f>
        <v>562950.5422533456</v>
      </c>
      <c r="D21" s="51">
        <f>'ABATEMENT COST'!$G$11+($A21-pks_price)*'ABATEMENT COST'!$G$19*1000/'ABATEMENT COST'!$G$7-(D$19-coal_price)*(INVENTORY!$C$16-INVENTORY!$G$16)/1000*1000/'ABATEMENT COST'!$G$7</f>
        <v>520109.49607615219</v>
      </c>
      <c r="E21" s="51">
        <f>'ABATEMENT COST'!$G$11+($A21-pks_price)*'ABATEMENT COST'!$G$19*1000/'ABATEMENT COST'!$G$7-(E$19-coal_price)*(INVENTORY!$C$16-INVENTORY!$G$16)/1000*1000/'ABATEMENT COST'!$G$7</f>
        <v>462988.10117322765</v>
      </c>
      <c r="F21" s="51">
        <f>'ABATEMENT COST'!$G$11+($A21-pks_price)*'ABATEMENT COST'!$G$19*1000/'ABATEMENT COST'!$G$7-(F$19-coal_price)*(INVENTORY!$C$16-INVENTORY!$G$16)/1000*1000/'ABATEMENT COST'!$G$7</f>
        <v>405866.70627030317</v>
      </c>
    </row>
    <row r="22" spans="1:7" x14ac:dyDescent="0.3">
      <c r="A22" s="67">
        <v>900000</v>
      </c>
      <c r="B22" s="51">
        <f>'ABATEMENT COST'!$G$11+($A22-pks_price)*'ABATEMENT COST'!$G$19*1000/'ABATEMENT COST'!$G$7-(B$19-coal_price)*(INVENTORY!$C$16-INVENTORY!$G$16)/1000*1000/'ABATEMENT COST'!$G$7</f>
        <v>684059.6122272088</v>
      </c>
      <c r="C22" s="51">
        <f>'ABATEMENT COST'!$G$11+($A22-pks_price)*'ABATEMENT COST'!$G$19*1000/'ABATEMENT COST'!$G$7-(C$19-coal_price)*(INVENTORY!$C$16-INVENTORY!$G$16)/1000*1000/'ABATEMENT COST'!$G$7</f>
        <v>641218.56605001539</v>
      </c>
      <c r="D22" s="51">
        <f>'ABATEMENT COST'!$G$11+($A22-pks_price)*'ABATEMENT COST'!$G$19*1000/'ABATEMENT COST'!$G$7-(D$19-coal_price)*(INVENTORY!$C$16-INVENTORY!$G$16)/1000*1000/'ABATEMENT COST'!$G$7</f>
        <v>598377.51987282198</v>
      </c>
      <c r="E22" s="51">
        <f>'ABATEMENT COST'!$G$11+($A22-pks_price)*'ABATEMENT COST'!$G$19*1000/'ABATEMENT COST'!$G$7-(E$19-coal_price)*(INVENTORY!$C$16-INVENTORY!$G$16)/1000*1000/'ABATEMENT COST'!$G$7</f>
        <v>541256.12496989744</v>
      </c>
      <c r="F22" s="51">
        <f>'ABATEMENT COST'!$G$11+($A22-pks_price)*'ABATEMENT COST'!$G$19*1000/'ABATEMENT COST'!$G$7-(F$19-coal_price)*(INVENTORY!$C$16-INVENTORY!$G$16)/1000*1000/'ABATEMENT COST'!$G$7</f>
        <v>484134.73006697296</v>
      </c>
    </row>
    <row r="23" spans="1:7" x14ac:dyDescent="0.3">
      <c r="A23" s="67">
        <v>1000000</v>
      </c>
      <c r="B23" s="51">
        <f>'ABATEMENT COST'!$G$11+($A23-pks_price)*'ABATEMENT COST'!$G$19*1000/'ABATEMENT COST'!$G$7-(B$19-coal_price)*(INVENTORY!$C$16-INVENTORY!$G$16)/1000*1000/'ABATEMENT COST'!$G$7</f>
        <v>762327.63602387859</v>
      </c>
      <c r="C23" s="51">
        <f>'ABATEMENT COST'!$G$11+($A23-pks_price)*'ABATEMENT COST'!$G$19*1000/'ABATEMENT COST'!$G$7-(C$19-coal_price)*(INVENTORY!$C$16-INVENTORY!$G$16)/1000*1000/'ABATEMENT COST'!$G$7</f>
        <v>719486.58984668518</v>
      </c>
      <c r="D23" s="51">
        <f>'ABATEMENT COST'!$G$11+($A23-pks_price)*'ABATEMENT COST'!$G$19*1000/'ABATEMENT COST'!$G$7-(D$19-coal_price)*(INVENTORY!$C$16-INVENTORY!$G$16)/1000*1000/'ABATEMENT COST'!$G$7</f>
        <v>676645.54366949177</v>
      </c>
      <c r="E23" s="51">
        <f>'ABATEMENT COST'!$G$11+($A23-pks_price)*'ABATEMENT COST'!$G$19*1000/'ABATEMENT COST'!$G$7-(E$19-coal_price)*(INVENTORY!$C$16-INVENTORY!$G$16)/1000*1000/'ABATEMENT COST'!$G$7</f>
        <v>619524.14876656723</v>
      </c>
      <c r="F23" s="51">
        <f>'ABATEMENT COST'!$G$11+($A23-pks_price)*'ABATEMENT COST'!$G$19*1000/'ABATEMENT COST'!$G$7-(F$19-coal_price)*(INVENTORY!$C$16-INVENTORY!$G$16)/1000*1000/'ABATEMENT COST'!$G$7</f>
        <v>562402.75386364269</v>
      </c>
    </row>
    <row r="24" spans="1:7" x14ac:dyDescent="0.3">
      <c r="A24" s="67">
        <v>1100000</v>
      </c>
      <c r="B24" s="51">
        <f>'ABATEMENT COST'!$G$11+($A24-pks_price)*'ABATEMENT COST'!$G$19*1000/'ABATEMENT COST'!$G$7-(B$19-coal_price)*(INVENTORY!$C$16-INVENTORY!$G$16)/1000*1000/'ABATEMENT COST'!$G$7</f>
        <v>840595.65982054838</v>
      </c>
      <c r="C24" s="51">
        <f>'ABATEMENT COST'!$G$11+($A24-pks_price)*'ABATEMENT COST'!$G$19*1000/'ABATEMENT COST'!$G$7-(C$19-coal_price)*(INVENTORY!$C$16-INVENTORY!$G$16)/1000*1000/'ABATEMENT COST'!$G$7</f>
        <v>797754.61364335497</v>
      </c>
      <c r="D24" s="51">
        <f>'ABATEMENT COST'!$G$11+($A24-pks_price)*'ABATEMENT COST'!$G$19*1000/'ABATEMENT COST'!$G$7-(D$19-coal_price)*(INVENTORY!$C$16-INVENTORY!$G$16)/1000*1000/'ABATEMENT COST'!$G$7</f>
        <v>754913.56746616156</v>
      </c>
      <c r="E24" s="51">
        <f>'ABATEMENT COST'!$G$11+($A24-pks_price)*'ABATEMENT COST'!$G$19*1000/'ABATEMENT COST'!$G$7-(E$19-coal_price)*(INVENTORY!$C$16-INVENTORY!$G$16)/1000*1000/'ABATEMENT COST'!$G$7</f>
        <v>697792.17256323702</v>
      </c>
      <c r="F24" s="51">
        <f>'ABATEMENT COST'!$G$11+($A24-pks_price)*'ABATEMENT COST'!$G$19*1000/'ABATEMENT COST'!$G$7-(F$19-coal_price)*(INVENTORY!$C$16-INVENTORY!$G$16)/1000*1000/'ABATEMENT COST'!$G$7</f>
        <v>640670.77766031248</v>
      </c>
    </row>
    <row r="25" spans="1:7" x14ac:dyDescent="0.3">
      <c r="A25" s="67">
        <v>1200000</v>
      </c>
      <c r="B25" s="51">
        <f>'ABATEMENT COST'!$G$11+($A25-pks_price)*'ABATEMENT COST'!$G$19*1000/'ABATEMENT COST'!$G$7-(B$19-coal_price)*(INVENTORY!$C$16-INVENTORY!$G$16)/1000*1000/'ABATEMENT COST'!$G$7</f>
        <v>918863.68361721816</v>
      </c>
      <c r="C25" s="51">
        <f>'ABATEMENT COST'!$G$11+($A25-pks_price)*'ABATEMENT COST'!$G$19*1000/'ABATEMENT COST'!$G$7-(C$19-coal_price)*(INVENTORY!$C$16-INVENTORY!$G$16)/1000*1000/'ABATEMENT COST'!$G$7</f>
        <v>876022.63744002476</v>
      </c>
      <c r="D25" s="51">
        <f>'ABATEMENT COST'!$G$11+($A25-pks_price)*'ABATEMENT COST'!$G$19*1000/'ABATEMENT COST'!$G$7-(D$19-coal_price)*(INVENTORY!$C$16-INVENTORY!$G$16)/1000*1000/'ABATEMENT COST'!$G$7</f>
        <v>833181.59126283135</v>
      </c>
      <c r="E25" s="51">
        <f>'ABATEMENT COST'!$G$11+($A25-pks_price)*'ABATEMENT COST'!$G$19*1000/'ABATEMENT COST'!$G$7-(E$19-coal_price)*(INVENTORY!$C$16-INVENTORY!$G$16)/1000*1000/'ABATEMENT COST'!$G$7</f>
        <v>776060.19635990681</v>
      </c>
      <c r="F25" s="51">
        <f>'ABATEMENT COST'!$G$11+($A25-pks_price)*'ABATEMENT COST'!$G$19*1000/'ABATEMENT COST'!$G$7-(F$19-coal_price)*(INVENTORY!$C$16-INVENTORY!$G$16)/1000*1000/'ABATEMENT COST'!$G$7</f>
        <v>718938.80145698227</v>
      </c>
    </row>
    <row r="27" spans="1:7" x14ac:dyDescent="0.3">
      <c r="A27" s="4" t="s">
        <v>595</v>
      </c>
    </row>
    <row r="28" spans="1:7" x14ac:dyDescent="0.3">
      <c r="A28" s="89" t="s">
        <v>596</v>
      </c>
      <c r="B28" s="87"/>
      <c r="C28" s="87"/>
      <c r="D28" s="87"/>
      <c r="E28" s="87"/>
      <c r="F28" s="87"/>
      <c r="G28" s="87"/>
    </row>
    <row r="29" spans="1:7" x14ac:dyDescent="0.3">
      <c r="A29" s="5" t="s">
        <v>597</v>
      </c>
      <c r="B29" s="68" t="str">
        <f>elec_name</f>
        <v>Attributional grid average, time of use 2025</v>
      </c>
    </row>
    <row r="30" spans="1:7" x14ac:dyDescent="0.3">
      <c r="A30" s="5" t="s">
        <v>598</v>
      </c>
      <c r="B30" s="62">
        <f>'IMPACT ASSESSMENT'!G9</f>
        <v>853.13680181020277</v>
      </c>
    </row>
    <row r="31" spans="1:7" x14ac:dyDescent="0.3">
      <c r="A31" s="5" t="s">
        <v>599</v>
      </c>
      <c r="B31" s="62">
        <f>'IMPACT ASSESSMENT'!C9</f>
        <v>1114.4344827864275</v>
      </c>
    </row>
  </sheetData>
  <mergeCells count="1">
    <mergeCell ref="A28:G28"/>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1"/>
  <sheetViews>
    <sheetView showGridLines="0" workbookViewId="0">
      <selection activeCell="E17" sqref="E17"/>
    </sheetView>
  </sheetViews>
  <sheetFormatPr defaultRowHeight="14.4" x14ac:dyDescent="0.3"/>
  <cols>
    <col min="1" max="1" width="44" customWidth="1"/>
    <col min="2" max="2" width="15" customWidth="1"/>
    <col min="3" max="3" width="17" customWidth="1"/>
    <col min="4" max="4" width="18.6640625" customWidth="1"/>
    <col min="5" max="5" width="19.44140625" customWidth="1"/>
    <col min="6" max="6" width="19.88671875" customWidth="1"/>
    <col min="7" max="7" width="19" customWidth="1"/>
    <col min="8" max="8" width="30" customWidth="1"/>
  </cols>
  <sheetData>
    <row r="1" spans="1:8" ht="24" customHeight="1" x14ac:dyDescent="0.3">
      <c r="A1" s="1" t="s">
        <v>600</v>
      </c>
      <c r="B1" s="2"/>
      <c r="C1" s="2"/>
      <c r="D1" s="2"/>
      <c r="E1" s="2"/>
      <c r="F1" s="2"/>
      <c r="G1" s="2"/>
      <c r="H1" s="2"/>
    </row>
    <row r="3" spans="1:8" x14ac:dyDescent="0.3">
      <c r="A3" s="6" t="str">
        <f>"Electricity background in force: "&amp;elec_name</f>
        <v>Electricity background in force: Attributional grid average, time of use 2025</v>
      </c>
    </row>
    <row r="5" spans="1:8" ht="26.4" x14ac:dyDescent="0.3">
      <c r="A5" s="7" t="s">
        <v>601</v>
      </c>
      <c r="B5" s="7" t="s">
        <v>152</v>
      </c>
      <c r="C5" s="7" t="s">
        <v>310</v>
      </c>
      <c r="D5" s="7" t="s">
        <v>311</v>
      </c>
      <c r="E5" s="7" t="s">
        <v>312</v>
      </c>
      <c r="F5" s="7" t="s">
        <v>313</v>
      </c>
      <c r="G5" s="7" t="s">
        <v>314</v>
      </c>
    </row>
    <row r="6" spans="1:8" x14ac:dyDescent="0.3">
      <c r="A6" s="8" t="s">
        <v>556</v>
      </c>
      <c r="B6" s="9" t="s">
        <v>557</v>
      </c>
      <c r="C6" s="69">
        <f>'IMPACT ASSESSMENT'!C9</f>
        <v>1114.4344827864275</v>
      </c>
      <c r="D6" s="69">
        <f>'IMPACT ASSESSMENT'!D9</f>
        <v>1071.6664980200449</v>
      </c>
      <c r="E6" s="69">
        <f>'IMPACT ASSESSMENT'!E9</f>
        <v>1031.2895058377349</v>
      </c>
      <c r="F6" s="69">
        <f>'IMPACT ASSESSMENT'!F9</f>
        <v>942.49483428142526</v>
      </c>
      <c r="G6" s="69">
        <f>'IMPACT ASSESSMENT'!G9</f>
        <v>853.13680181020277</v>
      </c>
    </row>
    <row r="7" spans="1:8" x14ac:dyDescent="0.3">
      <c r="A7" s="8" t="s">
        <v>350</v>
      </c>
      <c r="B7" s="9" t="s">
        <v>316</v>
      </c>
      <c r="C7" s="70">
        <f>($C$9*0+('IMPACT ASSESSMENT'!$C$9-'IMPACT ASSESSMENT'!C9)/'IMPACT ASSESSMENT'!$C$9)</f>
        <v>0</v>
      </c>
      <c r="D7" s="70">
        <f>($C$9*0+('IMPACT ASSESSMENT'!$C$9-'IMPACT ASSESSMENT'!D9)/'IMPACT ASSESSMENT'!$C$9)</f>
        <v>3.837640114962123E-2</v>
      </c>
      <c r="E7" s="70">
        <f>($C$9*0+('IMPACT ASSESSMENT'!$C$9-'IMPACT ASSESSMENT'!E9)/'IMPACT ASSESSMENT'!$C$9)</f>
        <v>7.4607326166725121E-2</v>
      </c>
      <c r="F7" s="70">
        <f>($C$9*0+('IMPACT ASSESSMENT'!$C$9-'IMPACT ASSESSMENT'!F9)/'IMPACT ASSESSMENT'!$C$9)</f>
        <v>0.15428421424568667</v>
      </c>
      <c r="G7" s="70">
        <f>($C$9*0+('IMPACT ASSESSMENT'!$C$9-'IMPACT ASSESSMENT'!G9)/'IMPACT ASSESSMENT'!$C$9)</f>
        <v>0.23446661514178965</v>
      </c>
    </row>
    <row r="8" spans="1:8" x14ac:dyDescent="0.3">
      <c r="A8" s="8" t="s">
        <v>602</v>
      </c>
      <c r="B8" s="9" t="s">
        <v>603</v>
      </c>
      <c r="C8" s="69">
        <f>'IMPACT ASSESSMENT'!C10</f>
        <v>0</v>
      </c>
      <c r="D8" s="69">
        <f>'IMPACT ASSESSMENT'!D10</f>
        <v>60.550458715596321</v>
      </c>
      <c r="E8" s="69">
        <f>'IMPACT ASSESSMENT'!E10</f>
        <v>122.60061919504646</v>
      </c>
      <c r="F8" s="69">
        <f>'IMPACT ASSESSMENT'!F10</f>
        <v>249.84227129337535</v>
      </c>
      <c r="G8" s="69">
        <f>'IMPACT ASSESSMENT'!G10</f>
        <v>383.22580645161287</v>
      </c>
    </row>
    <row r="9" spans="1:8" x14ac:dyDescent="0.3">
      <c r="A9" s="8" t="s">
        <v>604</v>
      </c>
      <c r="B9" s="9" t="s">
        <v>218</v>
      </c>
      <c r="C9" s="71">
        <f>INTERPRETATION!C24</f>
        <v>0</v>
      </c>
      <c r="D9" s="71">
        <f>INTERPRETATION!D24</f>
        <v>0.53500000000000003</v>
      </c>
      <c r="E9" s="71">
        <f>INTERPRETATION!E24</f>
        <v>0.59499999999999997</v>
      </c>
      <c r="F9" s="71">
        <f>INTERPRETATION!F24</f>
        <v>0.69</v>
      </c>
      <c r="G9" s="71">
        <f>INTERPRETATION!G24</f>
        <v>0.78500000000000003</v>
      </c>
    </row>
    <row r="10" spans="1:8" x14ac:dyDescent="0.3">
      <c r="A10" s="8" t="s">
        <v>605</v>
      </c>
      <c r="B10" s="9" t="s">
        <v>557</v>
      </c>
      <c r="C10" s="72" t="str">
        <f>INTERPRETATION!C21&amp;" - "&amp;ROUND(INTERPRETATION!C22,0)</f>
        <v>741.43 - 1504</v>
      </c>
      <c r="D10" s="72" t="str">
        <f>INTERPRETATION!D21&amp;" - "&amp;ROUND(INTERPRETATION!D22,0)</f>
        <v>737.83 - 1595</v>
      </c>
      <c r="E10" s="72" t="str">
        <f>INTERPRETATION!E21&amp;" - "&amp;ROUND(INTERPRETATION!E22,0)</f>
        <v>681.47 - 1528</v>
      </c>
      <c r="F10" s="72" t="str">
        <f>INTERPRETATION!F21&amp;" - "&amp;ROUND(INTERPRETATION!F22,0)</f>
        <v>621.32 - 1377</v>
      </c>
      <c r="G10" s="72" t="str">
        <f>INTERPRETATION!G21&amp;" - "&amp;ROUND(INTERPRETATION!G22,0)</f>
        <v>584.98 - 1252</v>
      </c>
    </row>
    <row r="11" spans="1:8" x14ac:dyDescent="0.3">
      <c r="A11" s="8" t="s">
        <v>606</v>
      </c>
      <c r="B11" s="9" t="s">
        <v>607</v>
      </c>
      <c r="C11" s="73">
        <f>'IMPACT ASSESSMENT'!C17</f>
        <v>3.3242941775846075</v>
      </c>
      <c r="D11" s="73">
        <f>'IMPACT ASSESSMENT'!D17</f>
        <v>3.2299444952390797</v>
      </c>
      <c r="E11" s="73">
        <f>'IMPACT ASSESSMENT'!E17</f>
        <v>3.1435499110942353</v>
      </c>
      <c r="F11" s="73">
        <f>'IMPACT ASSESSMENT'!F17</f>
        <v>2.9513434213890632</v>
      </c>
      <c r="G11" s="73">
        <f>'IMPACT ASSESSMENT'!G17</f>
        <v>2.7714635546718016</v>
      </c>
    </row>
    <row r="12" spans="1:8" x14ac:dyDescent="0.3">
      <c r="A12" s="8" t="s">
        <v>608</v>
      </c>
      <c r="B12" s="9" t="s">
        <v>609</v>
      </c>
      <c r="C12" s="73">
        <f>'IMPACT ASSESSMENT'!C29</f>
        <v>2.1531583835791608</v>
      </c>
      <c r="D12" s="73">
        <f>'IMPACT ASSESSMENT'!D29</f>
        <v>2.1091517990761681</v>
      </c>
      <c r="E12" s="73">
        <f>'IMPACT ASSESSMENT'!E29</f>
        <v>2.0707213932343382</v>
      </c>
      <c r="F12" s="73">
        <f>'IMPACT ASSESSMENT'!F29</f>
        <v>1.9903712508744933</v>
      </c>
      <c r="G12" s="73">
        <f>'IMPACT ASSESSMENT'!G29</f>
        <v>1.9382271801664368</v>
      </c>
    </row>
    <row r="13" spans="1:8" x14ac:dyDescent="0.3">
      <c r="A13" s="8" t="s">
        <v>610</v>
      </c>
      <c r="B13" s="9" t="s">
        <v>611</v>
      </c>
      <c r="C13" s="69">
        <f>'IMPACT ASSESSMENT'!C41</f>
        <v>0</v>
      </c>
      <c r="D13" s="69">
        <f>'IMPACT ASSESSMENT'!D41</f>
        <v>13.571626683326015</v>
      </c>
      <c r="E13" s="69">
        <f>'IMPACT ASSESSMENT'!E41</f>
        <v>27.479392727229772</v>
      </c>
      <c r="F13" s="69">
        <f>'IMPACT ASSESSMENT'!F41</f>
        <v>55.999014832146464</v>
      </c>
      <c r="G13" s="69">
        <f>'IMPACT ASSESSMENT'!G41</f>
        <v>85.895263073179493</v>
      </c>
    </row>
    <row r="14" spans="1:8" x14ac:dyDescent="0.3">
      <c r="A14" s="8" t="s">
        <v>612</v>
      </c>
      <c r="B14" s="9" t="s">
        <v>613</v>
      </c>
      <c r="C14" s="73">
        <f>'IMPACT ASSESSMENT'!C47</f>
        <v>1.7999999999999998</v>
      </c>
      <c r="D14" s="73">
        <f>'IMPACT ASSESSMENT'!D47</f>
        <v>1.8165137614678897</v>
      </c>
      <c r="E14" s="73">
        <f>'IMPACT ASSESSMENT'!E47</f>
        <v>1.8390092879256967</v>
      </c>
      <c r="F14" s="73">
        <f>'IMPACT ASSESSMENT'!F47</f>
        <v>1.8738170347003154</v>
      </c>
      <c r="G14" s="73">
        <f>'IMPACT ASSESSMENT'!G47</f>
        <v>1.9161290322580644</v>
      </c>
    </row>
    <row r="15" spans="1:8" x14ac:dyDescent="0.3">
      <c r="A15" s="8" t="s">
        <v>614</v>
      </c>
      <c r="B15" s="9" t="s">
        <v>615</v>
      </c>
      <c r="C15" s="74">
        <f>INVENTORY!C17*annual_mwh/1000</f>
        <v>0</v>
      </c>
      <c r="D15" s="74">
        <f>INVENTORY!D17*annual_mwh/1000</f>
        <v>55197.744524898808</v>
      </c>
      <c r="E15" s="74">
        <f>INVENTORY!E17*annual_mwh/1000</f>
        <v>111762.61584917596</v>
      </c>
      <c r="F15" s="74">
        <f>INVENTORY!F17*annual_mwh/1000</f>
        <v>227755.9931816014</v>
      </c>
      <c r="G15" s="74">
        <f>INVENTORY!G17*annual_mwh/1000</f>
        <v>349348.30567048868</v>
      </c>
    </row>
    <row r="16" spans="1:8" x14ac:dyDescent="0.3">
      <c r="A16" s="8" t="s">
        <v>616</v>
      </c>
      <c r="B16" s="9" t="s">
        <v>615</v>
      </c>
      <c r="C16" s="74">
        <f>(INVENTORY!$C$16-INVENTORY!C16)*annual_mwh/1000</f>
        <v>0</v>
      </c>
      <c r="D16" s="74">
        <f>(INVENTORY!$C$16-INVENTORY!D16)*annual_mwh/1000</f>
        <v>41304.15060977744</v>
      </c>
      <c r="E16" s="74">
        <f>(INVENTORY!$C$16-INVENTORY!E16)*annual_mwh/1000</f>
        <v>80533.858154873829</v>
      </c>
      <c r="F16" s="74">
        <f>(INVENTORY!$C$16-INVENTORY!F16)*annual_mwh/1000</f>
        <v>167272.39963034296</v>
      </c>
      <c r="G16" s="74">
        <f>(INVENTORY!$C$16-INVENTORY!G16)*annual_mwh/1000</f>
        <v>254960.60279626783</v>
      </c>
    </row>
    <row r="17" spans="1:8" x14ac:dyDescent="0.3">
      <c r="A17" s="8" t="s">
        <v>617</v>
      </c>
      <c r="B17" s="9" t="s">
        <v>468</v>
      </c>
      <c r="C17" s="75">
        <f>CAPEX!C27</f>
        <v>0</v>
      </c>
      <c r="D17" s="75">
        <f>CAPEX!D27</f>
        <v>103348105261.86096</v>
      </c>
      <c r="E17" s="75">
        <f>CAPEX!E27</f>
        <v>167889492315.64606</v>
      </c>
      <c r="F17" s="75">
        <f>CAPEX!F27</f>
        <v>272737284912.8306</v>
      </c>
      <c r="G17" s="75">
        <f>CAPEX!G27</f>
        <v>408250000000</v>
      </c>
    </row>
    <row r="18" spans="1:8" x14ac:dyDescent="0.3">
      <c r="A18" s="8" t="s">
        <v>618</v>
      </c>
      <c r="B18" s="9" t="s">
        <v>518</v>
      </c>
      <c r="C18" s="75">
        <f>LCOE!C13</f>
        <v>454264.69709399366</v>
      </c>
      <c r="D18" s="75">
        <f>LCOE!D13</f>
        <v>479689.923300575</v>
      </c>
      <c r="E18" s="75">
        <f>LCOE!E13</f>
        <v>503756.90515346953</v>
      </c>
      <c r="F18" s="75">
        <f>LCOE!F13</f>
        <v>556328.35827646323</v>
      </c>
      <c r="G18" s="75">
        <f>LCOE!G13</f>
        <v>610619.35538506682</v>
      </c>
    </row>
    <row r="19" spans="1:8" x14ac:dyDescent="0.3">
      <c r="A19" s="8" t="s">
        <v>619</v>
      </c>
      <c r="B19" s="9" t="s">
        <v>518</v>
      </c>
      <c r="C19" s="75">
        <f>LCOE!C17</f>
        <v>0</v>
      </c>
      <c r="D19" s="75">
        <f>LCOE!D17</f>
        <v>25425.226206581341</v>
      </c>
      <c r="E19" s="75">
        <f>LCOE!E17</f>
        <v>49492.208059475874</v>
      </c>
      <c r="F19" s="75">
        <f>LCOE!F17</f>
        <v>102063.66118246957</v>
      </c>
      <c r="G19" s="75">
        <f>LCOE!G17</f>
        <v>156354.65829107317</v>
      </c>
    </row>
    <row r="20" spans="1:8" x14ac:dyDescent="0.3">
      <c r="A20" s="8" t="s">
        <v>559</v>
      </c>
      <c r="B20" s="9" t="s">
        <v>560</v>
      </c>
      <c r="C20" s="74">
        <f>'ABATEMENT COST'!C8</f>
        <v>0</v>
      </c>
      <c r="D20" s="74">
        <f>'ABATEMENT COST'!D8</f>
        <v>73056.271577934764</v>
      </c>
      <c r="E20" s="74">
        <f>'ABATEMENT COST'!E8</f>
        <v>142028.24962375671</v>
      </c>
      <c r="F20" s="74">
        <f>'ABATEMENT COST'!F8</f>
        <v>293707.30757624476</v>
      </c>
      <c r="G20" s="74">
        <f>'ABATEMENT COST'!G8</f>
        <v>446348.69864358701</v>
      </c>
    </row>
    <row r="21" spans="1:8" x14ac:dyDescent="0.3">
      <c r="A21" s="8" t="s">
        <v>562</v>
      </c>
      <c r="B21" s="9" t="s">
        <v>432</v>
      </c>
      <c r="C21" s="75" t="str">
        <f>'ABATEMENT COST'!C11</f>
        <v>-</v>
      </c>
      <c r="D21" s="75">
        <f>'ABATEMENT COST'!D11</f>
        <v>594492.03289481672</v>
      </c>
      <c r="E21" s="75">
        <f>'ABATEMENT COST'!E11</f>
        <v>595251.93073319027</v>
      </c>
      <c r="F21" s="75">
        <f>'ABATEMENT COST'!F11</f>
        <v>593601.66238504474</v>
      </c>
      <c r="G21" s="75">
        <f>'ABATEMENT COST'!G11</f>
        <v>598377.51987282198</v>
      </c>
    </row>
    <row r="22" spans="1:8" x14ac:dyDescent="0.3">
      <c r="A22" s="8" t="s">
        <v>562</v>
      </c>
      <c r="B22" s="9" t="s">
        <v>564</v>
      </c>
      <c r="C22" s="76" t="str">
        <f>'ABATEMENT COST'!C12</f>
        <v>-</v>
      </c>
      <c r="D22" s="76">
        <f>'ABATEMENT COST'!D12</f>
        <v>36.471903858577711</v>
      </c>
      <c r="E22" s="76">
        <f>'ABATEMENT COST'!E12</f>
        <v>36.518523357864431</v>
      </c>
      <c r="F22" s="76">
        <f>'ABATEMENT COST'!F12</f>
        <v>36.417279900922992</v>
      </c>
      <c r="G22" s="76">
        <f>'ABATEMENT COST'!G12</f>
        <v>36.710277292811163</v>
      </c>
    </row>
    <row r="23" spans="1:8" x14ac:dyDescent="0.3">
      <c r="A23" s="8" t="s">
        <v>572</v>
      </c>
      <c r="B23" s="9" t="s">
        <v>423</v>
      </c>
      <c r="C23" s="75" t="str">
        <f>'ABATEMENT COST'!C21</f>
        <v>-</v>
      </c>
      <c r="D23" s="75">
        <f>'ABATEMENT COST'!D21</f>
        <v>-448052.98665510584</v>
      </c>
      <c r="E23" s="75">
        <f>'ABATEMENT COST'!E21</f>
        <v>-396882.52482344466</v>
      </c>
      <c r="F23" s="75">
        <f>'ABATEMENT COST'!F21</f>
        <v>-416318.58098068315</v>
      </c>
      <c r="G23" s="75">
        <f>'ABATEMENT COST'!G21</f>
        <v>-411886.93905472569</v>
      </c>
    </row>
    <row r="26" spans="1:8" x14ac:dyDescent="0.3">
      <c r="A26" s="4" t="s">
        <v>620</v>
      </c>
    </row>
    <row r="27" spans="1:8" ht="28.05" customHeight="1" x14ac:dyDescent="0.3">
      <c r="A27" s="86" t="s">
        <v>621</v>
      </c>
      <c r="B27" s="87"/>
      <c r="C27" s="87"/>
      <c r="D27" s="87"/>
      <c r="E27" s="87"/>
      <c r="F27" s="87"/>
      <c r="G27" s="87"/>
      <c r="H27" s="87"/>
    </row>
    <row r="28" spans="1:8" ht="28.05" customHeight="1" x14ac:dyDescent="0.3">
      <c r="A28" s="86" t="s">
        <v>622</v>
      </c>
      <c r="B28" s="87"/>
      <c r="C28" s="87"/>
      <c r="D28" s="87"/>
      <c r="E28" s="87"/>
      <c r="F28" s="87"/>
      <c r="G28" s="87"/>
      <c r="H28" s="87"/>
    </row>
    <row r="29" spans="1:8" ht="28.05" customHeight="1" x14ac:dyDescent="0.3">
      <c r="A29" s="86" t="s">
        <v>623</v>
      </c>
      <c r="B29" s="87"/>
      <c r="C29" s="87"/>
      <c r="D29" s="87"/>
      <c r="E29" s="87"/>
      <c r="F29" s="87"/>
      <c r="G29" s="87"/>
      <c r="H29" s="87"/>
    </row>
    <row r="30" spans="1:8" ht="28.05" customHeight="1" x14ac:dyDescent="0.3">
      <c r="A30" s="86" t="s">
        <v>624</v>
      </c>
      <c r="B30" s="87"/>
      <c r="C30" s="87"/>
      <c r="D30" s="87"/>
      <c r="E30" s="87"/>
      <c r="F30" s="87"/>
      <c r="G30" s="87"/>
      <c r="H30" s="87"/>
    </row>
    <row r="31" spans="1:8" ht="28.05" customHeight="1" x14ac:dyDescent="0.3">
      <c r="A31" s="86" t="s">
        <v>625</v>
      </c>
      <c r="B31" s="87"/>
      <c r="C31" s="87"/>
      <c r="D31" s="87"/>
      <c r="E31" s="87"/>
      <c r="F31" s="87"/>
      <c r="G31" s="87"/>
      <c r="H31" s="87"/>
    </row>
  </sheetData>
  <mergeCells count="5">
    <mergeCell ref="A30:H30"/>
    <mergeCell ref="A29:H29"/>
    <mergeCell ref="A28:H28"/>
    <mergeCell ref="A27:H27"/>
    <mergeCell ref="A31:H3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24"/>
  <sheetViews>
    <sheetView showGridLines="0" topLeftCell="A14" workbookViewId="0"/>
  </sheetViews>
  <sheetFormatPr defaultRowHeight="14.4" x14ac:dyDescent="0.3"/>
  <cols>
    <col min="1" max="1" width="34" customWidth="1"/>
    <col min="2" max="2" width="30" customWidth="1"/>
    <col min="3" max="3" width="70" customWidth="1"/>
    <col min="4" max="4" width="20" customWidth="1"/>
    <col min="5" max="7" width="16" customWidth="1"/>
  </cols>
  <sheetData>
    <row r="1" spans="1:7" ht="24" customHeight="1" x14ac:dyDescent="0.3">
      <c r="A1" s="1" t="s">
        <v>626</v>
      </c>
      <c r="B1" s="2"/>
      <c r="C1" s="2"/>
      <c r="D1" s="2"/>
      <c r="E1" s="2"/>
      <c r="F1" s="2"/>
      <c r="G1" s="2"/>
    </row>
    <row r="4" spans="1:7" x14ac:dyDescent="0.3">
      <c r="A4" s="7" t="s">
        <v>627</v>
      </c>
      <c r="B4" s="7" t="s">
        <v>309</v>
      </c>
      <c r="C4" s="7" t="s">
        <v>231</v>
      </c>
      <c r="D4" s="7" t="s">
        <v>628</v>
      </c>
    </row>
    <row r="5" spans="1:7" ht="25.95" customHeight="1" x14ac:dyDescent="0.3">
      <c r="A5" s="8" t="s">
        <v>38</v>
      </c>
      <c r="B5" s="9" t="s">
        <v>629</v>
      </c>
      <c r="C5" s="10" t="s">
        <v>630</v>
      </c>
      <c r="D5" s="9" t="s">
        <v>631</v>
      </c>
    </row>
    <row r="6" spans="1:7" ht="25.95" customHeight="1" x14ac:dyDescent="0.3">
      <c r="A6" s="8" t="s">
        <v>38</v>
      </c>
      <c r="B6" s="9" t="s">
        <v>632</v>
      </c>
      <c r="C6" s="10" t="s">
        <v>633</v>
      </c>
      <c r="D6" s="9" t="s">
        <v>634</v>
      </c>
    </row>
    <row r="7" spans="1:7" ht="25.95" customHeight="1" x14ac:dyDescent="0.3">
      <c r="A7" s="8" t="s">
        <v>38</v>
      </c>
      <c r="B7" s="9" t="s">
        <v>635</v>
      </c>
      <c r="C7" s="10" t="s">
        <v>636</v>
      </c>
      <c r="D7" s="9" t="s">
        <v>637</v>
      </c>
    </row>
    <row r="8" spans="1:7" ht="25.95" customHeight="1" x14ac:dyDescent="0.3">
      <c r="A8" s="8" t="s">
        <v>38</v>
      </c>
      <c r="B8" s="9" t="s">
        <v>638</v>
      </c>
      <c r="C8" s="10" t="s">
        <v>639</v>
      </c>
      <c r="D8" s="9" t="s">
        <v>640</v>
      </c>
    </row>
    <row r="9" spans="1:7" ht="25.95" customHeight="1" x14ac:dyDescent="0.3">
      <c r="A9" s="8" t="s">
        <v>38</v>
      </c>
      <c r="B9" s="9" t="s">
        <v>399</v>
      </c>
      <c r="C9" s="10" t="s">
        <v>641</v>
      </c>
      <c r="D9" s="9" t="s">
        <v>642</v>
      </c>
    </row>
    <row r="10" spans="1:7" ht="25.95" customHeight="1" x14ac:dyDescent="0.3">
      <c r="A10" s="8" t="s">
        <v>38</v>
      </c>
      <c r="B10" s="9" t="s">
        <v>610</v>
      </c>
      <c r="C10" s="10" t="s">
        <v>643</v>
      </c>
      <c r="D10" s="9" t="s">
        <v>644</v>
      </c>
    </row>
    <row r="11" spans="1:7" ht="25.95" customHeight="1" x14ac:dyDescent="0.3">
      <c r="A11" s="8" t="s">
        <v>38</v>
      </c>
      <c r="B11" s="9" t="s">
        <v>645</v>
      </c>
      <c r="C11" s="10" t="s">
        <v>646</v>
      </c>
      <c r="D11" s="9" t="s">
        <v>647</v>
      </c>
    </row>
    <row r="12" spans="1:7" ht="25.95" customHeight="1" x14ac:dyDescent="0.3">
      <c r="A12" s="8" t="s">
        <v>648</v>
      </c>
      <c r="B12" s="9" t="s">
        <v>649</v>
      </c>
      <c r="C12" s="10" t="s">
        <v>650</v>
      </c>
      <c r="D12" s="9" t="s">
        <v>651</v>
      </c>
    </row>
    <row r="13" spans="1:7" ht="25.95" customHeight="1" x14ac:dyDescent="0.3">
      <c r="A13" s="8" t="s">
        <v>652</v>
      </c>
      <c r="B13" s="9" t="s">
        <v>653</v>
      </c>
      <c r="C13" s="10" t="s">
        <v>654</v>
      </c>
      <c r="D13" s="9" t="s">
        <v>655</v>
      </c>
    </row>
    <row r="14" spans="1:7" ht="25.95" customHeight="1" x14ac:dyDescent="0.3">
      <c r="A14" s="8" t="s">
        <v>42</v>
      </c>
      <c r="B14" s="9" t="s">
        <v>656</v>
      </c>
      <c r="C14" s="10" t="s">
        <v>657</v>
      </c>
      <c r="D14" s="9" t="s">
        <v>658</v>
      </c>
    </row>
    <row r="15" spans="1:7" ht="25.95" customHeight="1" x14ac:dyDescent="0.3">
      <c r="A15" s="8" t="s">
        <v>46</v>
      </c>
      <c r="B15" s="9" t="s">
        <v>659</v>
      </c>
      <c r="C15" s="10" t="s">
        <v>660</v>
      </c>
      <c r="D15" s="9" t="s">
        <v>661</v>
      </c>
    </row>
    <row r="16" spans="1:7" ht="25.95" customHeight="1" x14ac:dyDescent="0.3">
      <c r="A16" s="8" t="s">
        <v>46</v>
      </c>
      <c r="B16" s="9" t="s">
        <v>662</v>
      </c>
      <c r="C16" s="10" t="s">
        <v>663</v>
      </c>
      <c r="D16" s="9" t="s">
        <v>661</v>
      </c>
    </row>
    <row r="17" spans="1:4" ht="25.95" customHeight="1" x14ac:dyDescent="0.3">
      <c r="A17" s="8" t="s">
        <v>664</v>
      </c>
      <c r="B17" s="9" t="s">
        <v>665</v>
      </c>
      <c r="C17" s="10" t="s">
        <v>666</v>
      </c>
      <c r="D17" s="9" t="s">
        <v>667</v>
      </c>
    </row>
    <row r="18" spans="1:4" ht="25.95" customHeight="1" x14ac:dyDescent="0.3">
      <c r="A18" s="8" t="s">
        <v>664</v>
      </c>
      <c r="B18" s="9" t="s">
        <v>668</v>
      </c>
      <c r="C18" s="10" t="s">
        <v>669</v>
      </c>
      <c r="D18" s="9" t="s">
        <v>670</v>
      </c>
    </row>
    <row r="19" spans="1:4" ht="25.95" customHeight="1" x14ac:dyDescent="0.3">
      <c r="A19" s="8" t="s">
        <v>664</v>
      </c>
      <c r="B19" s="9" t="s">
        <v>671</v>
      </c>
      <c r="C19" s="10" t="s">
        <v>672</v>
      </c>
      <c r="D19" s="9" t="s">
        <v>673</v>
      </c>
    </row>
    <row r="20" spans="1:4" ht="25.95" customHeight="1" x14ac:dyDescent="0.3">
      <c r="A20" s="8" t="s">
        <v>664</v>
      </c>
      <c r="B20" s="9" t="s">
        <v>674</v>
      </c>
      <c r="C20" s="10" t="s">
        <v>675</v>
      </c>
      <c r="D20" s="9" t="s">
        <v>676</v>
      </c>
    </row>
    <row r="21" spans="1:4" ht="25.95" customHeight="1" x14ac:dyDescent="0.3">
      <c r="A21" s="8" t="s">
        <v>677</v>
      </c>
      <c r="B21" s="9" t="s">
        <v>678</v>
      </c>
      <c r="C21" s="10" t="s">
        <v>679</v>
      </c>
      <c r="D21" s="9" t="s">
        <v>680</v>
      </c>
    </row>
    <row r="22" spans="1:4" ht="25.95" customHeight="1" x14ac:dyDescent="0.3">
      <c r="A22" s="8" t="s">
        <v>681</v>
      </c>
      <c r="B22" s="9" t="s">
        <v>682</v>
      </c>
      <c r="C22" s="10" t="s">
        <v>683</v>
      </c>
      <c r="D22" s="9" t="s">
        <v>684</v>
      </c>
    </row>
    <row r="23" spans="1:4" ht="25.95" customHeight="1" x14ac:dyDescent="0.3">
      <c r="A23" s="8" t="s">
        <v>681</v>
      </c>
      <c r="B23" s="9" t="s">
        <v>547</v>
      </c>
      <c r="C23" s="10" t="s">
        <v>685</v>
      </c>
      <c r="D23" s="9" t="s">
        <v>686</v>
      </c>
    </row>
    <row r="24" spans="1:4" ht="25.95" customHeight="1" x14ac:dyDescent="0.3">
      <c r="A24" s="8" t="s">
        <v>687</v>
      </c>
      <c r="B24" s="9" t="s">
        <v>688</v>
      </c>
      <c r="C24" s="10" t="s">
        <v>689</v>
      </c>
      <c r="D24" s="9" t="s">
        <v>690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58</vt:i4>
      </vt:variant>
    </vt:vector>
  </HeadingPairs>
  <TitlesOfParts>
    <vt:vector size="76" baseType="lpstr">
      <vt:lpstr>ABOUT</vt:lpstr>
      <vt:lpstr>GOAL</vt:lpstr>
      <vt:lpstr>SCOPE</vt:lpstr>
      <vt:lpstr>PARAMETERS</vt:lpstr>
      <vt:lpstr>BACKGROUND</vt:lpstr>
      <vt:lpstr>INDICATORS</vt:lpstr>
      <vt:lpstr>INVENTORY</vt:lpstr>
      <vt:lpstr>IMPACT ASSESSMENT</vt:lpstr>
      <vt:lpstr>INTERPRETATION</vt:lpstr>
      <vt:lpstr>FUEL PRICES</vt:lpstr>
      <vt:lpstr>CAPEX</vt:lpstr>
      <vt:lpstr>OPEX</vt:lpstr>
      <vt:lpstr>CASH FLOW</vt:lpstr>
      <vt:lpstr>LCOE</vt:lpstr>
      <vt:lpstr>ABATEMENT COST</vt:lpstr>
      <vt:lpstr>SENSITIVITY</vt:lpstr>
      <vt:lpstr>DASHBOARD</vt:lpstr>
      <vt:lpstr>SOURCE GUIDE</vt:lpstr>
      <vt:lpstr>annual_mwh</vt:lpstr>
      <vt:lpstr>ash_capture</vt:lpstr>
      <vt:lpstr>ash_coal</vt:lpstr>
      <vt:lpstr>ash_pks</vt:lpstr>
      <vt:lpstr>aux_kwh</vt:lpstr>
      <vt:lpstr>barge_tariff</vt:lpstr>
      <vt:lpstr>cap_exp</vt:lpstr>
      <vt:lpstr>cap_factor</vt:lpstr>
      <vt:lpstr>cap_mw</vt:lpstr>
      <vt:lpstr>capex_row</vt:lpstr>
      <vt:lpstr>carbon_price</vt:lpstr>
      <vt:lpstr>ch4_ef</vt:lpstr>
      <vt:lpstr>co2_coal</vt:lpstr>
      <vt:lpstr>co2_pks</vt:lpstr>
      <vt:lpstr>coal_price</vt:lpstr>
      <vt:lpstr>coal_usd</vt:lpstr>
      <vt:lpstr>crf</vt:lpstr>
      <vt:lpstr>crush_kwh</vt:lpstr>
      <vt:lpstr>dry_heat</vt:lpstr>
      <vt:lpstr>elec_gwp</vt:lpstr>
      <vt:lpstr>elec_mode</vt:lpstr>
      <vt:lpstr>elec_name</vt:lpstr>
      <vt:lpstr>elec_price</vt:lpstr>
      <vt:lpstr>elec_scale</vt:lpstr>
      <vt:lpstr>faba_cost</vt:lpstr>
      <vt:lpstr>fom_rate</vt:lpstr>
      <vt:lpstr>fx</vt:lpstr>
      <vt:lpstr>land_occ</vt:lpstr>
      <vt:lpstr>lhv_coal</vt:lpstr>
      <vt:lpstr>lhv_pks</vt:lpstr>
      <vt:lpstr>life</vt:lpstr>
      <vt:lpstr>lime_per_S</vt:lpstr>
      <vt:lpstr>limestone_price</vt:lpstr>
      <vt:lpstr>n_coal</vt:lpstr>
      <vt:lpstr>n_pks</vt:lpstr>
      <vt:lpstr>n2o_ef</vt:lpstr>
      <vt:lpstr>nox_ef</vt:lpstr>
      <vt:lpstr>nox_ratio</vt:lpstr>
      <vt:lpstr>pks_price</vt:lpstr>
      <vt:lpstr>pks_price_high</vt:lpstr>
      <vt:lpstr>pks_price_low</vt:lpstr>
      <vt:lpstr>pks_upstream_ratio</vt:lpstr>
      <vt:lpstr>pks_usd</vt:lpstr>
      <vt:lpstr>pm_ratio</vt:lpstr>
      <vt:lpstr>pm25_ef</vt:lpstr>
      <vt:lpstr>ref_capex</vt:lpstr>
      <vt:lpstr>ref_capex_nojetty</vt:lpstr>
      <vt:lpstr>ref_share</vt:lpstr>
      <vt:lpstr>s_coal</vt:lpstr>
      <vt:lpstr>s_pks</vt:lpstr>
      <vt:lpstr>so2_ef</vt:lpstr>
      <vt:lpstr>so2_ratio</vt:lpstr>
      <vt:lpstr>stock_ch4</vt:lpstr>
      <vt:lpstr>truck_tariff</vt:lpstr>
      <vt:lpstr>vom_pks</vt:lpstr>
      <vt:lpstr>wacc</vt:lpstr>
      <vt:lpstr>water_cost</vt:lpstr>
      <vt:lpstr>water_int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robbyfajrino</dc:creator>
  <cp:lastModifiedBy>robby.fajrino</cp:lastModifiedBy>
  <dcterms:created xsi:type="dcterms:W3CDTF">2026-08-21T07:59:08Z</dcterms:created>
  <dcterms:modified xsi:type="dcterms:W3CDTF">2026-08-22T00:57:34Z</dcterms:modified>
</cp:coreProperties>
</file>